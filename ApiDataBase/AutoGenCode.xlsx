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paceDDigital\LSM7002MNiosProject\ApiDataBase\"/>
    </mc:Choice>
  </mc:AlternateContent>
  <xr:revisionPtr revIDLastSave="0" documentId="13_ncr:1_{51F1ADE3-DEE8-400C-BB62-835855C8DB70}" xr6:coauthVersionLast="47" xr6:coauthVersionMax="47" xr10:uidLastSave="{00000000-0000-0000-0000-000000000000}"/>
  <bookViews>
    <workbookView xWindow="-120" yWindow="-120" windowWidth="29040" windowHeight="15720" tabRatio="500" xr2:uid="{00000000-000D-0000-FFFF-FFFF00000000}"/>
  </bookViews>
  <sheets>
    <sheet name="bydtatype" sheetId="1" r:id="rId1"/>
  </sheets>
  <definedNames>
    <definedName name="_xlnm._FilterDatabase" localSheetId="0" hidden="1">bydtatype!$A$1:$O$105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2" i="1" l="1"/>
  <c r="E102" i="1"/>
  <c r="P92" i="1"/>
  <c r="E92" i="1"/>
  <c r="E91" i="1"/>
  <c r="P91" i="1"/>
  <c r="P12" i="1"/>
  <c r="E12" i="1"/>
  <c r="P34" i="1"/>
  <c r="E34" i="1"/>
  <c r="P33" i="1"/>
  <c r="E33" i="1"/>
  <c r="P32" i="1"/>
  <c r="E32" i="1"/>
  <c r="P31" i="1"/>
  <c r="E31" i="1"/>
  <c r="P30" i="1"/>
  <c r="E30" i="1"/>
  <c r="P67" i="1"/>
  <c r="E67" i="1"/>
  <c r="E75" i="1"/>
  <c r="E77" i="1"/>
  <c r="E76" i="1"/>
  <c r="E79" i="1"/>
  <c r="P77" i="1"/>
  <c r="P11" i="1"/>
  <c r="P104" i="1"/>
  <c r="E104" i="1"/>
  <c r="P101" i="1"/>
  <c r="E101" i="1"/>
  <c r="P100" i="1"/>
  <c r="E100" i="1"/>
  <c r="P99" i="1"/>
  <c r="E99" i="1"/>
  <c r="P98" i="1"/>
  <c r="E98" i="1"/>
  <c r="P97" i="1"/>
  <c r="E97" i="1"/>
  <c r="P96" i="1"/>
  <c r="E96" i="1"/>
  <c r="P95" i="1"/>
  <c r="E95" i="1"/>
  <c r="P94" i="1"/>
  <c r="E94" i="1"/>
  <c r="P90" i="1"/>
  <c r="E90" i="1"/>
  <c r="P89" i="1"/>
  <c r="E89" i="1"/>
  <c r="P87" i="1"/>
  <c r="E87" i="1"/>
  <c r="P85" i="1"/>
  <c r="E85" i="1"/>
  <c r="P84" i="1"/>
  <c r="E84" i="1"/>
  <c r="P83" i="1"/>
  <c r="E83" i="1"/>
  <c r="P82" i="1"/>
  <c r="E82" i="1"/>
  <c r="P81" i="1"/>
  <c r="E81" i="1"/>
  <c r="P79" i="1"/>
  <c r="P76" i="1"/>
  <c r="P75" i="1"/>
  <c r="P73" i="1"/>
  <c r="E73" i="1"/>
  <c r="P72" i="1"/>
  <c r="E72" i="1"/>
  <c r="P70" i="1"/>
  <c r="E70" i="1"/>
  <c r="P69" i="1"/>
  <c r="E69" i="1"/>
  <c r="P66" i="1"/>
  <c r="E66" i="1"/>
  <c r="P65" i="1"/>
  <c r="E65" i="1"/>
  <c r="P64" i="1"/>
  <c r="E64" i="1"/>
  <c r="P63" i="1"/>
  <c r="E63" i="1"/>
  <c r="P62" i="1"/>
  <c r="E62" i="1"/>
  <c r="P61" i="1"/>
  <c r="E61" i="1"/>
  <c r="P60" i="1"/>
  <c r="E60" i="1"/>
  <c r="P59" i="1"/>
  <c r="E59" i="1"/>
  <c r="P58" i="1"/>
  <c r="E58" i="1"/>
  <c r="P56" i="1"/>
  <c r="E56" i="1"/>
  <c r="P54" i="1"/>
  <c r="E54" i="1"/>
  <c r="P52" i="1"/>
  <c r="E52" i="1"/>
  <c r="P50" i="1"/>
  <c r="E50" i="1"/>
  <c r="P48" i="1"/>
  <c r="E48" i="1"/>
  <c r="P46" i="1"/>
  <c r="E46" i="1"/>
  <c r="P44" i="1"/>
  <c r="E44" i="1"/>
  <c r="P42" i="1"/>
  <c r="E42" i="1"/>
  <c r="P41" i="1"/>
  <c r="E41" i="1"/>
  <c r="P40" i="1"/>
  <c r="E40" i="1"/>
  <c r="P39" i="1"/>
  <c r="E39" i="1"/>
  <c r="P38" i="1"/>
  <c r="E38" i="1"/>
  <c r="P37" i="1"/>
  <c r="E37" i="1"/>
  <c r="P36" i="1"/>
  <c r="E36" i="1"/>
  <c r="P29" i="1"/>
  <c r="E29" i="1"/>
  <c r="P28" i="1"/>
  <c r="E28" i="1"/>
  <c r="P27" i="1"/>
  <c r="E27" i="1"/>
  <c r="P26" i="1"/>
  <c r="E26" i="1"/>
  <c r="P24" i="1"/>
  <c r="E24" i="1"/>
  <c r="P22" i="1"/>
  <c r="E22" i="1"/>
  <c r="P21" i="1"/>
  <c r="E21" i="1"/>
  <c r="P20" i="1"/>
  <c r="P19" i="1"/>
  <c r="E19" i="1"/>
  <c r="P18" i="1"/>
  <c r="E18" i="1"/>
  <c r="P17" i="1"/>
  <c r="E17" i="1"/>
  <c r="P16" i="1"/>
  <c r="E16" i="1"/>
  <c r="P14" i="1"/>
  <c r="E14" i="1"/>
  <c r="P10" i="1"/>
  <c r="E10" i="1"/>
  <c r="P9" i="1"/>
  <c r="E9" i="1"/>
  <c r="P8" i="1"/>
  <c r="E8" i="1"/>
  <c r="P7" i="1"/>
  <c r="E7" i="1"/>
  <c r="P6" i="1"/>
  <c r="E6" i="1"/>
  <c r="P5" i="1"/>
  <c r="E5" i="1"/>
  <c r="P4" i="1"/>
  <c r="E4" i="1"/>
  <c r="P2" i="1"/>
  <c r="E2" i="1"/>
</calcChain>
</file>

<file path=xl/sharedStrings.xml><?xml version="1.0" encoding="utf-8"?>
<sst xmlns="http://schemas.openxmlformats.org/spreadsheetml/2006/main" count="1137" uniqueCount="268">
  <si>
    <t>SN</t>
  </si>
  <si>
    <t>Callback</t>
  </si>
  <si>
    <t>API Description</t>
  </si>
  <si>
    <t>GROUP</t>
  </si>
  <si>
    <t>HEX OPCODE</t>
  </si>
  <si>
    <t>Group Name</t>
  </si>
  <si>
    <t>Group Description</t>
  </si>
  <si>
    <t>QT Label</t>
  </si>
  <si>
    <t>P0_t</t>
  </si>
  <si>
    <t>P1_t</t>
  </si>
  <si>
    <t>P2_t</t>
  </si>
  <si>
    <t>P3_t</t>
  </si>
  <si>
    <t>P4_t</t>
  </si>
  <si>
    <t>P5_t</t>
  </si>
  <si>
    <t>Return_t</t>
  </si>
  <si>
    <t>Typedef</t>
  </si>
  <si>
    <t>LMS7002M_create</t>
  </si>
  <si>
    <t xml:space="preserve">
Create an instance of the LMS7002M driver.
This call does not reset or initialize the LMS7002M.
See LMS7002M_init(...) and LMS7002M_reset(...).
</t>
  </si>
  <si>
    <t>CREATE_NUM</t>
  </si>
  <si>
    <t>Create a new configuration or instance</t>
  </si>
  <si>
    <t>Internal</t>
  </si>
  <si>
    <t>LMS7002M_spi_transact_t</t>
  </si>
  <si>
    <t>None</t>
  </si>
  <si>
    <t>LMS7002M_t*</t>
  </si>
  <si>
    <t>****</t>
  </si>
  <si>
    <t>LMS7002M_regs</t>
  </si>
  <si>
    <t>ONE_PARAM_LMS7002M_T_NUM</t>
  </si>
  <si>
    <t>Operation involving one LMS7002M parameter</t>
  </si>
  <si>
    <t>Regs</t>
  </si>
  <si>
    <t>LMS7002M_t *</t>
  </si>
  <si>
    <t>void</t>
  </si>
  <si>
    <t>LMS7002M_destroy</t>
  </si>
  <si>
    <t xml:space="preserve">
Destroy an instance of the LMS7002M driver.
This call simply fees the instance data,
it does not shutdown or have any effects on the chip.
Use the LMS7002M_power_down(...) call before destroy().
</t>
  </si>
  <si>
    <t>LMS7002M_regs_to_rfic</t>
  </si>
  <si>
    <t xml:space="preserve">
Write the entire internal register cache to the RFIC.
</t>
  </si>
  <si>
    <t>LMS7002M_rfic_to_regs</t>
  </si>
  <si>
    <t xml:space="preserve">
Read the the entire RFIC into the internal register cache.
</t>
  </si>
  <si>
    <t>LMS7002M_reset</t>
  </si>
  <si>
    <t xml:space="preserve">
Perform all soft and hard resets available.
Call this first to put the LMS7002M into a known state.
</t>
  </si>
  <si>
    <t>Power</t>
  </si>
  <si>
    <t>LMS7002M_power_down</t>
  </si>
  <si>
    <t xml:space="preserve">
Put all available hardware into disable/power-down mode.
Call this last before destroying the LMS7002M instance.
</t>
  </si>
  <si>
    <t>LMS7002M_setup_digital_loopback</t>
  </si>
  <si>
    <t xml:space="preserve">
Enable digital loopback inside the lime light.
This call also applies the tx fifo write clock to the rx fifo.
To undo the effect of this loopback, call LMS7002M_configure_lml_port().
</t>
  </si>
  <si>
    <t>loopback</t>
  </si>
  <si>
    <t>LMS7002M_spi_write</t>
  </si>
  <si>
    <t xml:space="preserve">
Perform a SPI write transaction on the given device.
This call can be used directly to access SPI registers,
rather than indirectly through the high level driver calls.
</t>
  </si>
  <si>
    <t>SPI_WRITE_NUM</t>
  </si>
  <si>
    <t>SPI write operation</t>
  </si>
  <si>
    <t>SPI</t>
  </si>
  <si>
    <t xml:space="preserve"> const int </t>
  </si>
  <si>
    <t>LMS7002M_spi_read</t>
  </si>
  <si>
    <t>SPI_CONFIG_NUM</t>
  </si>
  <si>
    <t>SPI configuration operation</t>
  </si>
  <si>
    <t>int</t>
  </si>
  <si>
    <t>LMS7002M_regs_spi_write</t>
  </si>
  <si>
    <t>LMS7002M_regs_spi_read</t>
  </si>
  <si>
    <t xml:space="preserve">
Perform a SPI read transaction on the given device.
This call can be used directly to access SPI registers,
rather than indirectly through the high level driver calls.
</t>
  </si>
  <si>
    <t>LMS7002M_set_spi_mode</t>
  </si>
  <si>
    <t xml:space="preserve">
Set the SPI mode (4-wire or 3-wire).
We recommend that you set this before any additional communication.
</t>
  </si>
  <si>
    <t>LMS7002M_dump_ini</t>
  </si>
  <si>
    <t xml:space="preserve">
Dump the known registers to an INI format like the one used by the EVB7 GUI.
</t>
  </si>
  <si>
    <t>INI_NUM</t>
  </si>
  <si>
    <t>Initialization operation</t>
  </si>
  <si>
    <t>INI</t>
  </si>
  <si>
    <t xml:space="preserve"> const char *</t>
  </si>
  <si>
    <t>LMS7002M_load_ini</t>
  </si>
  <si>
    <t xml:space="preserve">
Load registers from an INI format like the one used by the EVB7 GUI.</t>
  </si>
  <si>
    <t>LMS7002M_configure_lml_port</t>
  </si>
  <si>
    <t xml:space="preserve">
Configure the muxing and clocking on a lime light port.
This sets the data mode and direction for the DIQ pins,
and selects the appropriate clock and stream muxes.
This call is not compatible with JESD207 operation.
The mclkDiv must be 1 for no divider, or an even value.
Odd divider values besides 1 (bypass) are not allowed.
</t>
  </si>
  <si>
    <t>CONFIGURE_LML_PORT_NUM</t>
  </si>
  <si>
    <t>Configure the LML port.</t>
  </si>
  <si>
    <t xml:space="preserve"> const LMS7002M_port_t </t>
  </si>
  <si>
    <t xml:space="preserve"> const LMS7002M_dir_t </t>
  </si>
  <si>
    <t>LMS7002M_invert_fclk</t>
  </si>
  <si>
    <t>Invert the feedback clock used with the transmit pins.
This call inverts both FCLK1 and FCLK2 (only one of which is used).</t>
  </si>
  <si>
    <t>ONE_PARAM_CONST_BOOL_NUM</t>
  </si>
  <si>
    <t>Operation with a single constant boolean parameter.</t>
  </si>
  <si>
    <t>Other</t>
  </si>
  <si>
    <t xml:space="preserve"> const bool </t>
  </si>
  <si>
    <t>LMS7002M_xbuf_share_tx</t>
  </si>
  <si>
    <t xml:space="preserve">
Share the TX XBUF clock chain to the RX XBUF clock chain.
Enabled sharing when there is no clock provided to the RX input.
</t>
  </si>
  <si>
    <t>BUFF</t>
  </si>
  <si>
    <t>LMS7002M_xbuf_enable_bias</t>
  </si>
  <si>
    <t xml:space="preserve">
Enable input biasing the DC voltage level for clock inputs.
When disabled, the input clocks should be DC coupled.
</t>
  </si>
  <si>
    <t>LMS7002M_sxt_to_sxr</t>
  </si>
  <si>
    <t xml:space="preserve">
Share the transmit LO to the receive chain.
This is useful for TDD modes which use the same LO for Rx and Tx.
The default is disabled. Its recommended to disable SXR when using.
</t>
  </si>
  <si>
    <t>LMS7002M_reset_lml_fifo</t>
  </si>
  <si>
    <t xml:space="preserve">
Reset all logic registers and FIFO state.
Use after configuring and before streaming.
</t>
  </si>
  <si>
    <t>ONE_PARAM_LMS7002M_CHAN_NUM</t>
  </si>
  <si>
    <t>Operation involving one LMS7002M channel</t>
  </si>
  <si>
    <t>LMS7002M_set_mac_dir</t>
  </si>
  <si>
    <t xml:space="preserve">
Set the MAC mux for direction TX/RX shadow registers.
For SXT and SXR, MAX is used for direction and not channel control.
This call does not incur a register write if the value is unchanged.
This call is mostly used internally by other calls that have to set the MAC.
</t>
  </si>
  <si>
    <t>MAC</t>
  </si>
  <si>
    <t>LMS7002M_set_mac_ch</t>
  </si>
  <si>
    <t xml:space="preserve">
Set the MAC mux for channel A/B shadow registers.
This call does not incur a register write if the value is unchanged.
This call is mostly used internally by other calls that have to set the MAC.
</t>
  </si>
  <si>
    <t>const LMS7002M_chan_t</t>
  </si>
  <si>
    <t>LMS7002M_txtsp_tsg_tone</t>
  </si>
  <si>
    <t xml:space="preserve">
Test tone signal for TX TSP chain (TSP clk/8).
Use LMS7002M_txtsp_enable() to restore regular mode.
</t>
  </si>
  <si>
    <t>Enable Channel</t>
  </si>
  <si>
    <t>LMS7002M_rxtsp_tsg_tone</t>
  </si>
  <si>
    <t>rx_cal_init</t>
  </si>
  <si>
    <t>tx_cal_init</t>
  </si>
  <si>
    <t>LMS7002M_set_diq_mux</t>
  </si>
  <si>
    <t>TWO_PARAM_LMS7002M_DIR_INT_NUM</t>
  </si>
  <si>
    <t>Operation involving LMS7002M direction and an integer</t>
  </si>
  <si>
    <t>IQ</t>
  </si>
  <si>
    <t>LMS7002M_ldo_enable</t>
  </si>
  <si>
    <t xml:space="preserve">
Enable/disable a group of LDOs.
</t>
  </si>
  <si>
    <t>LDO_ENABLE_NUM</t>
  </si>
  <si>
    <t>Enable/disable Low-Dropout (LDO) regulator</t>
  </si>
  <si>
    <t>Enable</t>
  </si>
  <si>
    <t>LMS7002M_afe_enable</t>
  </si>
  <si>
    <t xml:space="preserve">
Enable/disable individual DACs and ADCs in the AFE section.
Use the direction and channel parameters to specify a DAC/DAC.
</t>
  </si>
  <si>
    <t>AFE_ENABLE_NUM</t>
  </si>
  <si>
    <t xml:space="preserve">Enable/disable the Analog Front End (AFE). </t>
  </si>
  <si>
    <t xml:space="preserve"> const LMS7002M_chan_t </t>
  </si>
  <si>
    <t>LMS7002M_set_data_clock</t>
  </si>
  <si>
    <t xml:space="preserve">
Configure the ADC/DAC clocking given the reference and the desired rate.
This is a helper function that may make certain non-ideal assumptions,
for example this calculation will always make use of fractional-N tuning.
Also, this function does not directly set the clock muxing (see CGEN section).
</t>
  </si>
  <si>
    <t>SET_DATA_CLOCK_NUM</t>
  </si>
  <si>
    <t>Set the data clock configuration</t>
  </si>
  <si>
    <t>Sampling</t>
  </si>
  <si>
    <t xml:space="preserve"> const double </t>
  </si>
  <si>
    <t xml:space="preserve"> double *</t>
  </si>
  <si>
    <t>LMS7002M_set_nco_freq</t>
  </si>
  <si>
    <t>SET_NCO_FREQ_NUM</t>
  </si>
  <si>
    <t>Set the Numerically Controlled Oscillator (NCO) frequency.</t>
  </si>
  <si>
    <t>Frequency Tunning</t>
  </si>
  <si>
    <t>LMS7002M_set_gfir_taps</t>
  </si>
  <si>
    <t xml:space="preserve">
Set the filter taps for one of the TSP FIR filters.
If the taps array is NULL or the ntaps is 0,
then the specified filter will be bypassed,
otherwise, the specified filter is enabled.
An error will be returned when the taps size is incorrect,
or if a non-existent filter is selected (use 1, 2, or 3).
Filters 1 and 2 are 40 taps, while filter 3 is 120 taps.
</t>
  </si>
  <si>
    <t>SET_GFIR_TAPS_NUM</t>
  </si>
  <si>
    <t>Set the number of taps for the GFIR filter.</t>
  </si>
  <si>
    <t>FIR</t>
  </si>
  <si>
    <t>LMS7002M_set_lo_freq</t>
  </si>
  <si>
    <t xml:space="preserve">
The simplified tuning algorithm for the RX and TX local oscillators.
Each oscillator is shared between both channels A and B.
This is a helper function that may make certain non-ideal assumptions,
for example this calculation will always make use of fractional-N tuning.
</t>
  </si>
  <si>
    <t>SET_LO_FREQ_NUM</t>
  </si>
  <si>
    <t>et the Local Oscillator (LO) frequency</t>
  </si>
  <si>
    <t>LMS7002M_sxx_enable</t>
  </si>
  <si>
    <t xml:space="preserve">
Enable/disable the synthesizer.
</t>
  </si>
  <si>
    <t>TWO_PARAM_LMS_CONST_BOOL_NUM</t>
  </si>
  <si>
    <t>Operation involving an LMS7002M parameter and a constant boolean.</t>
  </si>
  <si>
    <t>LMS7002M_txtsp_enable</t>
  </si>
  <si>
    <t xml:space="preserve">
Initialize the TX TSP chain by:
Clearing configuration values, enabling the chain,
and bypassing IQ gain, phase, DC corrections, and filters.
</t>
  </si>
  <si>
    <t>LMS7002M_tbb_enable</t>
  </si>
  <si>
    <t xml:space="preserve">
Enable/disable the TX baseband.
</t>
  </si>
  <si>
    <t>LMS7002M_trf_enable</t>
  </si>
  <si>
    <t>Enable/disable the TX RF frontend.</t>
  </si>
  <si>
    <t>LMS7002M_trf_enable_loopback</t>
  </si>
  <si>
    <t>Enable/disable the TX RF loopback to RFE.</t>
  </si>
  <si>
    <t>LMS7002M_rxtsp_enable</t>
  </si>
  <si>
    <t>Initialize the RX TSP chain by:
Clearing configuration values, enabling the chain,
and bypassing IQ gain, phase, DC corrections, filters, and AGC.</t>
  </si>
  <si>
    <t>LMS7002M_rbb_enable</t>
  </si>
  <si>
    <t xml:space="preserve">
Enable/disable the RX baseband.
</t>
  </si>
  <si>
    <t>LMS7002M_rbb_set_test_out</t>
  </si>
  <si>
    <t>Test</t>
  </si>
  <si>
    <t>LMS7002M_rfe_enable</t>
  </si>
  <si>
    <t xml:space="preserve">
Enable/disable the RX RF frontend.
</t>
  </si>
  <si>
    <t>LMS7002M_txtsp_set_interp</t>
  </si>
  <si>
    <t xml:space="preserve">
Set the TX TSP chain interpolation.
</t>
  </si>
  <si>
    <t>TWO_PARAM_CHANT_SIZET_NUM</t>
  </si>
  <si>
    <t>Operation involving a channel and a size parameter</t>
  </si>
  <si>
    <t xml:space="preserve"> const size_t </t>
  </si>
  <si>
    <t>LMS7002M_rxtsp_set_decim</t>
  </si>
  <si>
    <t xml:space="preserve">
Set the RX TSP chain decimation.
</t>
  </si>
  <si>
    <t>LMS7002M_txtsp_tsg_const</t>
  </si>
  <si>
    <t xml:space="preserve">
Test constant signal level for TX TSP chain.
Use LMS7002M_txtsp_enable() to restore regular mode.
</t>
  </si>
  <si>
    <t>SP_TSG_NUM</t>
  </si>
  <si>
    <t>Special operation (possibly related to test signal generation)</t>
  </si>
  <si>
    <t>LMS7002M_rxtsp_tsg_const</t>
  </si>
  <si>
    <t xml:space="preserve">
Test constant signal level for RX TSP chain.
Use LMS7002M_rxtsp_enable() to restore regular mode.
</t>
  </si>
  <si>
    <t>LMS7002M_txtsp_set_dc_correction</t>
  </si>
  <si>
    <t>TXSTP_CORRECTION_NUM</t>
  </si>
  <si>
    <t>Correct the TX start/stop timing</t>
  </si>
  <si>
    <t>Calibrate</t>
  </si>
  <si>
    <t>const double</t>
  </si>
  <si>
    <t>LMS7002M_txtsp_set_iq_correction</t>
  </si>
  <si>
    <t>LMS7002M_rxtsp_set_dc_correction</t>
  </si>
  <si>
    <t>RXTSP_NUM</t>
  </si>
  <si>
    <t>Operation related to RX TSP (test signal processing)</t>
  </si>
  <si>
    <t>const bool</t>
  </si>
  <si>
    <t>const int</t>
  </si>
  <si>
    <t>LMS7002M_rxtsp_set_iq_correction</t>
  </si>
  <si>
    <t>LMS7002M_tbb_set_path</t>
  </si>
  <si>
    <t>SET_PATH_AND_BAND_NUM</t>
  </si>
  <si>
    <t>Set the signal path and band configuration</t>
  </si>
  <si>
    <t>Band</t>
  </si>
  <si>
    <t>LMS7002M_tbb_set_test_in</t>
  </si>
  <si>
    <t>LMS7002M_trf_select_band</t>
  </si>
  <si>
    <t xml:space="preserve">
Select the TX RF band (band 1 or band 2)
</t>
  </si>
  <si>
    <t>LMS7002M_rbb_set_path</t>
  </si>
  <si>
    <t>LMS7002M_rfe_set_path</t>
  </si>
  <si>
    <t>LMS7002M_tbb_enable_loopback</t>
  </si>
  <si>
    <t>TBB_LOOP_BACK_ENABLE_NUM</t>
  </si>
  <si>
    <t>Enable/disable loopback on the TBB (transceiver baseband)</t>
  </si>
  <si>
    <t>LMS7002M_tbb_set_filter_bw</t>
  </si>
  <si>
    <t xml:space="preserve">
Set the TX baseband filter bandwidth.
The actual bandwidth will be greater than or equal to the requested bandwidth.
</t>
  </si>
  <si>
    <t>BB_FILER_SET_NUM</t>
  </si>
  <si>
    <t>Configure the baseband filter parameters</t>
  </si>
  <si>
    <t>LMS7002M_rbb_set_filter_bw</t>
  </si>
  <si>
    <t xml:space="preserve">
Set the RX baseband filter bandwidth.
The actual bandwidth will be greater than or equal to the requested bandwidth.
</t>
  </si>
  <si>
    <t>LMS7002M_txtsp_set_freq</t>
  </si>
  <si>
    <t xml:space="preserve">
Set the TX TSP CMIX frequency.
Math: freqHz = TSPRate * sampleRate
</t>
  </si>
  <si>
    <t>TRF_RBB_RFE_NUM</t>
  </si>
  <si>
    <t>Operation related to TRF, RBB, or RFE configurations</t>
  </si>
  <si>
    <t>LMS7002M_rxtsp_set_freq</t>
  </si>
  <si>
    <t xml:space="preserve">
Set the RX TSP CMIX frequency.
Math: freqHz = TSPRate * sampleRate
</t>
  </si>
  <si>
    <t>LMS7002M_trf_set_pad</t>
  </si>
  <si>
    <t xml:space="preserve">
Set the PAD gain (loss) for the TX RF frontend.
</t>
  </si>
  <si>
    <t>Gain</t>
  </si>
  <si>
    <t>double</t>
  </si>
  <si>
    <t>LMS7002M_trf_set_loopback_pad</t>
  </si>
  <si>
    <t xml:space="preserve">
Set the PAD gain (loss) for the TX RF frontend (in RX loopback mode).
</t>
  </si>
  <si>
    <t>LMS7002M_rbb_set_pga</t>
  </si>
  <si>
    <t>LMS7002M_rfe_set_lna</t>
  </si>
  <si>
    <t xml:space="preserve">
Set the LNA gain for the RX RF frontend.
</t>
  </si>
  <si>
    <t>LMS7002M_rfe_set_loopback_lna</t>
  </si>
  <si>
    <t xml:space="preserve">
Set the LNA gain for the RX RF frontend (in TX loopback mode).
</t>
  </si>
  <si>
    <t>LMS7002M_rfe_set_tia</t>
  </si>
  <si>
    <t xml:space="preserve">
Set the TIA gain for the RX RF frontend.
</t>
  </si>
  <si>
    <t>LMS7002M_rxtsp_read_rssi</t>
  </si>
  <si>
    <t xml:space="preserve">
Read the digital RSSI indicator in the Rx TSP chain.
</t>
  </si>
  <si>
    <t>READRSSI_NUM</t>
  </si>
  <si>
    <t>Read the Received Signal Strength Indicator (RSSI).</t>
  </si>
  <si>
    <t>RSSI</t>
  </si>
  <si>
    <t>uint16_t</t>
  </si>
  <si>
    <t>LMS7002M_set_work_mode</t>
  </si>
  <si>
    <t>WORK MODE</t>
  </si>
  <si>
    <t>E1</t>
  </si>
  <si>
    <t xml:space="preserve">Returns a pointer to the internal memory structure that contains the values ​​of the LMS7002M registers managed by the controller.
</t>
  </si>
  <si>
    <t xml:space="preserve">
Configure the test input signal to the TX BB component.
The default is disabled (LMS7002M_TBB_TSTIN_OFF) 
0 – Disabled. Test signal is not routed any where. (default) 
1 – Test signal is routed to the input of the Highband Filter. 
2 – Test signal is routed to the input of the LowBand Filter. 
3 - Test signal is routed to the input of the current amplifier. </t>
  </si>
  <si>
    <t xml:space="preserve">
Configure the test output signal from the RX BB component.
The default is false meaning that the RBB outputs to the ADC.
 0 – the PGA connected to the ADC is selected; (default) 
 1 – the PGA connected to the output pads is selected instead. 
</t>
  </si>
  <si>
    <t xml:space="preserve">Select the data path for the TX baseband.
Use this to select loopback and filter paths.
Calling LMS7002M_tbb_set_filter_bw() will also
set the path based on the filter bandwidth setting.                                                    66 -&gt; Bypass filters path selected
83 -&gt; Low band single pole path selected
65 -&gt; Low band ladder filter path selected
76 -&gt; Low band (ladder + S5) path selected
72 -&gt; High band filter path selected      </t>
  </si>
  <si>
    <t xml:space="preserve">
Select the data path for the RX baseband.
Use this to select loopback and filter paths.
Calling LMS7002M_rbb_set_filter_bw() will also
set the path based on the filter bandwidth setting.
66 -&gt; Bypass filters path selected
76 -&gt; Low band filter path selected
72 -&gt; High band filter path selected
0 -&gt; Bypass filters with loopback from TXBB
1 -&gt; Low band filter with loopback from TXBB
2 -&gt; High band filter with loopback from TXBB       </t>
  </si>
  <si>
    <t>const LMS7002M_dir_t</t>
  </si>
  <si>
    <t>const short</t>
  </si>
  <si>
    <t>const size_t</t>
  </si>
  <si>
    <t xml:space="preserve">
Set the DIQ mux to control CHA and CHB I and Q ordering.                  LMS7002M_LML_AI --&gt;0 
LMS7002M_LML_AQ --&gt;1
LMS7002M_LML_BI --&gt;2 
LMS7002M_LML_BQ --&gt;3
</t>
  </si>
  <si>
    <t xml:space="preserve"> const int_arr4 </t>
  </si>
  <si>
    <t xml:space="preserve">
Enable/disable the TX BB loopback to RBB.                                                               0 – output is disconnected (high impedance) loop back is disabled.   
  (default) 
 1 – DAC current output is routed to the loopb pins. 
 2 – low band ladder output is routed to the output. 
 3 – main TBB output is routed to the loopb outputs.
</t>
  </si>
  <si>
    <t xml:space="preserve">
Select the active input path for the RX RF frontend.                                                     49 - LMS7002M_RFE_LB1
50 - LMS7002M_RFE_LB2                           78 - LMS7002M_RFE_NONE                     72 - LMS7002M_RFE_LNAH                      76 - LMS7002M_RFE_LNAL                     87 - LMS7002M_RFE_LNAW</t>
  </si>
  <si>
    <t xml:space="preserve">
DC offset correction value for Tx TSP chain.
Correction values are maximum 1.0 (full scale).                                                     Range [-1, 1)</t>
  </si>
  <si>
    <t xml:space="preserve">
DC offset correction value for Tx TSP chain.
Range [0, 7]                                              windows = 2^(value + 12)
</t>
  </si>
  <si>
    <t xml:space="preserve">
IQ imbalance correction value for Tx TSP chain.
- The gain is the ratio of I/Q, and should be near 1.0
- Gain values greater than 1.0 max out I and reduce Q.
- Gain values less than 1.0 max out Q and reduce I.
- A gain value of 1.0 bypasses the magnitude correction.
- A phase value of 0.0 bypasses the phase correction.                                            phase [-1.572, 1.571]                  
</t>
  </si>
  <si>
    <t xml:space="preserve">
IQ imbalance correction value for Rx TSP chain.
- The gain is the ratio of I/Q, and should be near 1.0
- Gain values greater than 1.0 max out I and reduce Q.
- Gain values less than 1.0 max out Q and reduce I.
- A gain value of 1.0 bypasses the magnitude correction.
- A phase value of 0.0 bypasses the phase correction.                                           phase [-1.572, 1.571]     
</t>
  </si>
  <si>
    <t>Set Work Mode (Tx)</t>
  </si>
  <si>
    <t>Enable/ disable loopback externo</t>
  </si>
  <si>
    <t>LMS7002M_CORE_LDO_ENABLE</t>
  </si>
  <si>
    <t>Enable signal of the LMS7002 pin corresponding to TX</t>
  </si>
  <si>
    <t>LMS7002M_RXEN</t>
  </si>
  <si>
    <t>Enable signal of the LMS7002 pin corresponding to LDO</t>
  </si>
  <si>
    <t>Enable signal of the LMS7002 pin corresponding to RX</t>
  </si>
  <si>
    <t>LMS7002M_TXEN</t>
  </si>
  <si>
    <t>LMS7002M_TXNRX1</t>
  </si>
  <si>
    <t>Enable signal of the LMS7002 pin corresponding to TXNRX1</t>
  </si>
  <si>
    <t>Enable signal of the LMS7002 pin corresponding to TXNRX2</t>
  </si>
  <si>
    <t>LMS7002M_TXNRX2</t>
  </si>
  <si>
    <t>LMS7002M_RESET</t>
  </si>
  <si>
    <t>Reset signal to the LMS7002</t>
  </si>
  <si>
    <t>LMS7002M_enable_external_loopback</t>
  </si>
  <si>
    <t>TuneTxFilter_8051</t>
  </si>
  <si>
    <t xml:space="preserve">
Set the TX baseband filter bandwidth with 8051 MCU.
The actual bandwidth will be greater than or equal to the requested bandwidth.
</t>
  </si>
  <si>
    <t>RFIC_ENABLE</t>
  </si>
  <si>
    <t xml:space="preserve">
Set the frequency for the specified NCO.
Most users should use LMS7002M_xxtsp_set_freq() to handle bypasses.
Note: there is a size 16 table for every NCO, we are just using entry 0.
Math: freqHz = freqRel * sampleRate           freqRel --&gt; (0-0.5)
</t>
  </si>
  <si>
    <t>TuneRxFilter_8051</t>
  </si>
  <si>
    <t>Set the RX baseband filter bandwidth with 8051 MCU.
The actual bandwidth will be greater than or equal to the requested bandwidth.</t>
  </si>
  <si>
    <t xml:space="preserve">
Set the PGA gain for the RX baseband. Range[-12, 19]
</t>
  </si>
  <si>
    <t>CalibrateAll</t>
  </si>
  <si>
    <t>Runs TX and RX calibration on the selected channel using the specified bandwidth.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</si>
</sst>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0"/>
      <name val="Arial"/>
      <family val="2"/>
      <charset val="1"/>
    </font>
    <font>
      <sz val="10"/>
      <name val="Times New Roman"/>
      <family val="1"/>
      <charset val="1"/>
    </font>
  </fonts>
  <fills count="3">
    <fill>
      <patternFill patternType="none"/>
    </fill>
    <fill>
      <patternFill patternType="gray125"/>
    </fill>
    <fill>
      <patternFill patternType="solid">
        <fgColor rgb="FF3465A4"/>
        <bgColor rgb="FF3366FF"/>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horizontal="center" vertical="center"/>
    </xf>
    <xf numFmtId="0" fontId="2" fillId="0" borderId="0" xfId="0" applyFont="1" applyAlignment="1">
      <alignment horizontal="center" vertical="center"/>
    </xf>
    <xf numFmtId="0" fontId="0" fillId="2" borderId="0" xfId="0" applyFill="1" applyAlignment="1">
      <alignment horizontal="center" vertical="center"/>
    </xf>
    <xf numFmtId="0" fontId="0" fillId="2" borderId="0" xfId="0" applyFill="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0EFD4"/>
      <rgbColor rgb="FFFFFF99"/>
      <rgbColor rgb="FF99CC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6"/>
  <sheetViews>
    <sheetView tabSelected="1" topLeftCell="C100" zoomScale="85" zoomScaleNormal="85" workbookViewId="0">
      <selection activeCell="P101" sqref="P101"/>
    </sheetView>
  </sheetViews>
  <sheetFormatPr defaultColWidth="11.5703125" defaultRowHeight="12.75" x14ac:dyDescent="0.2"/>
  <cols>
    <col min="1" max="1" width="4.42578125" style="1" customWidth="1"/>
    <col min="2" max="2" width="29.28515625" style="1" customWidth="1"/>
    <col min="3" max="3" width="39.140625" style="1" customWidth="1"/>
    <col min="4" max="4" width="10.5703125" style="1" customWidth="1"/>
    <col min="5" max="5" width="11.85546875" customWidth="1"/>
    <col min="6" max="6" width="36.42578125" customWidth="1"/>
    <col min="7" max="8" width="23" customWidth="1"/>
    <col min="9" max="9" width="27.85546875" customWidth="1"/>
    <col min="10" max="10" width="23" style="1" customWidth="1"/>
    <col min="11" max="11" width="34.140625" style="1" customWidth="1"/>
    <col min="12" max="13" width="8.5703125" style="1" customWidth="1"/>
    <col min="14" max="14" width="5.5703125" style="1" customWidth="1"/>
    <col min="15" max="15" width="16.5703125" style="1" customWidth="1"/>
    <col min="16" max="16" width="66.85546875" customWidth="1"/>
  </cols>
  <sheetData>
    <row r="1" spans="1:20" ht="25.5" x14ac:dyDescent="0.2">
      <c r="A1" s="1" t="s">
        <v>0</v>
      </c>
      <c r="B1" s="1" t="s">
        <v>1</v>
      </c>
      <c r="C1" s="1" t="s">
        <v>2</v>
      </c>
      <c r="D1" s="2" t="s">
        <v>3</v>
      </c>
      <c r="E1" s="3" t="s">
        <v>4</v>
      </c>
      <c r="F1" s="3" t="s">
        <v>5</v>
      </c>
      <c r="G1" s="3" t="s">
        <v>6</v>
      </c>
      <c r="H1" s="2" t="s">
        <v>7</v>
      </c>
      <c r="I1" s="1" t="s">
        <v>8</v>
      </c>
      <c r="J1" s="1" t="s">
        <v>9</v>
      </c>
      <c r="K1" s="1" t="s">
        <v>10</v>
      </c>
      <c r="L1" s="1" t="s">
        <v>11</v>
      </c>
      <c r="M1" s="1" t="s">
        <v>12</v>
      </c>
      <c r="N1" s="1" t="s">
        <v>13</v>
      </c>
      <c r="O1" s="2" t="s">
        <v>14</v>
      </c>
      <c r="P1" t="s">
        <v>15</v>
      </c>
      <c r="R1" s="3"/>
      <c r="S1" s="3"/>
      <c r="T1" s="3"/>
    </row>
    <row r="2" spans="1:20" ht="89.25" x14ac:dyDescent="0.2">
      <c r="A2" s="1">
        <v>0</v>
      </c>
      <c r="B2" s="1" t="s">
        <v>16</v>
      </c>
      <c r="C2" s="4" t="s">
        <v>17</v>
      </c>
      <c r="D2" s="1">
        <v>0</v>
      </c>
      <c r="E2" s="5" t="str">
        <f>DEC2HEX(_xlfn.BITOR(_xlfn.BITLSHIFT(A2,5),D2))</f>
        <v>0</v>
      </c>
      <c r="F2" s="5" t="s">
        <v>18</v>
      </c>
      <c r="G2" s="6" t="s">
        <v>19</v>
      </c>
      <c r="H2" s="1" t="s">
        <v>20</v>
      </c>
      <c r="I2" s="1" t="s">
        <v>21</v>
      </c>
      <c r="J2" s="1" t="s">
        <v>22</v>
      </c>
      <c r="K2" s="1" t="s">
        <v>22</v>
      </c>
      <c r="L2" s="1" t="s">
        <v>22</v>
      </c>
      <c r="M2" s="1" t="s">
        <v>22</v>
      </c>
      <c r="N2" s="1" t="s">
        <v>22</v>
      </c>
      <c r="O2" s="1" t="s">
        <v>23</v>
      </c>
      <c r="P2" t="str">
        <f>CONCATENATE("typedef ",O2," ",LOWER(F2), "_",  SUBSTITUTE(LOWER(H2), " ", "_"),"(", I2,");")</f>
        <v>typedef LMS7002M_t* create_num_internal(LMS7002M_spi_transact_t);</v>
      </c>
    </row>
    <row r="3" spans="1:20" s="8" customFormat="1" x14ac:dyDescent="0.2">
      <c r="A3" s="7" t="s">
        <v>24</v>
      </c>
      <c r="B3" s="7" t="s">
        <v>24</v>
      </c>
      <c r="C3" s="7"/>
      <c r="D3" s="7"/>
      <c r="J3" s="7" t="s">
        <v>24</v>
      </c>
      <c r="K3" s="7" t="s">
        <v>24</v>
      </c>
      <c r="L3" s="7" t="s">
        <v>24</v>
      </c>
      <c r="M3" s="7" t="s">
        <v>24</v>
      </c>
      <c r="N3" s="7" t="s">
        <v>24</v>
      </c>
      <c r="O3" s="7"/>
      <c r="P3" s="7"/>
    </row>
    <row r="4" spans="1:20" ht="63.75" x14ac:dyDescent="0.2">
      <c r="A4" s="1">
        <v>0</v>
      </c>
      <c r="B4" s="1" t="s">
        <v>25</v>
      </c>
      <c r="C4" s="4" t="s">
        <v>228</v>
      </c>
      <c r="D4" s="1">
        <v>1</v>
      </c>
      <c r="E4" s="1" t="str">
        <f t="shared" ref="E4:E10" si="0">DEC2HEX(_xlfn.BITOR(_xlfn.BITLSHIFT(A4,5),D4))</f>
        <v>1</v>
      </c>
      <c r="F4" s="1" t="s">
        <v>26</v>
      </c>
      <c r="G4" s="1" t="s">
        <v>27</v>
      </c>
      <c r="H4" s="1" t="s">
        <v>28</v>
      </c>
      <c r="I4" s="4" t="s">
        <v>29</v>
      </c>
      <c r="J4" s="1" t="s">
        <v>22</v>
      </c>
      <c r="K4" s="1" t="s">
        <v>22</v>
      </c>
      <c r="L4" s="1" t="s">
        <v>22</v>
      </c>
      <c r="M4" s="1" t="s">
        <v>22</v>
      </c>
      <c r="N4" s="1" t="s">
        <v>22</v>
      </c>
      <c r="O4" s="1" t="s">
        <v>30</v>
      </c>
      <c r="P4" t="str">
        <f t="shared" ref="P4:P9" si="1">CONCATENATE("typedef ",O4," ",LOWER(F4), "_",  SUBSTITUTE(LOWER(H4), " ", "_"),"(", I4,");")</f>
        <v>typedef void one_param_lms7002m_t_num_regs(LMS7002M_t *);</v>
      </c>
    </row>
    <row r="5" spans="1:20" ht="102" x14ac:dyDescent="0.2">
      <c r="A5" s="1">
        <v>1</v>
      </c>
      <c r="B5" s="1" t="s">
        <v>31</v>
      </c>
      <c r="C5" s="4" t="s">
        <v>32</v>
      </c>
      <c r="D5" s="1">
        <v>1</v>
      </c>
      <c r="E5" s="1" t="str">
        <f t="shared" si="0"/>
        <v>21</v>
      </c>
      <c r="F5" s="1" t="s">
        <v>26</v>
      </c>
      <c r="G5" s="1" t="s">
        <v>27</v>
      </c>
      <c r="H5" s="1" t="s">
        <v>20</v>
      </c>
      <c r="I5" s="4" t="s">
        <v>29</v>
      </c>
      <c r="J5" s="1" t="s">
        <v>22</v>
      </c>
      <c r="K5" s="1" t="s">
        <v>22</v>
      </c>
      <c r="L5" s="1" t="s">
        <v>22</v>
      </c>
      <c r="M5" s="1" t="s">
        <v>22</v>
      </c>
      <c r="N5" s="1" t="s">
        <v>22</v>
      </c>
      <c r="O5" s="1" t="s">
        <v>30</v>
      </c>
      <c r="P5" t="str">
        <f t="shared" si="1"/>
        <v>typedef void one_param_lms7002m_t_num_internal(LMS7002M_t *);</v>
      </c>
    </row>
    <row r="6" spans="1:20" ht="51" x14ac:dyDescent="0.2">
      <c r="A6" s="1">
        <v>2</v>
      </c>
      <c r="B6" s="1" t="s">
        <v>33</v>
      </c>
      <c r="C6" s="4" t="s">
        <v>34</v>
      </c>
      <c r="D6" s="1">
        <v>1</v>
      </c>
      <c r="E6" s="1" t="str">
        <f t="shared" si="0"/>
        <v>41</v>
      </c>
      <c r="F6" s="1" t="s">
        <v>26</v>
      </c>
      <c r="G6" s="1" t="s">
        <v>27</v>
      </c>
      <c r="H6" s="1" t="s">
        <v>28</v>
      </c>
      <c r="I6" s="4" t="s">
        <v>29</v>
      </c>
      <c r="J6" s="1" t="s">
        <v>22</v>
      </c>
      <c r="K6" s="1" t="s">
        <v>22</v>
      </c>
      <c r="L6" s="1" t="s">
        <v>22</v>
      </c>
      <c r="M6" s="1" t="s">
        <v>22</v>
      </c>
      <c r="N6" s="1" t="s">
        <v>22</v>
      </c>
      <c r="O6" s="1" t="s">
        <v>30</v>
      </c>
      <c r="P6" t="str">
        <f t="shared" si="1"/>
        <v>typedef void one_param_lms7002m_t_num_regs(LMS7002M_t *);</v>
      </c>
    </row>
    <row r="7" spans="1:20" ht="51" x14ac:dyDescent="0.2">
      <c r="A7" s="1">
        <v>3</v>
      </c>
      <c r="B7" s="1" t="s">
        <v>35</v>
      </c>
      <c r="C7" s="4" t="s">
        <v>36</v>
      </c>
      <c r="D7" s="1">
        <v>1</v>
      </c>
      <c r="E7" s="1" t="str">
        <f t="shared" si="0"/>
        <v>61</v>
      </c>
      <c r="F7" s="1" t="s">
        <v>26</v>
      </c>
      <c r="G7" s="1" t="s">
        <v>27</v>
      </c>
      <c r="H7" s="1" t="s">
        <v>28</v>
      </c>
      <c r="I7" s="4" t="s">
        <v>29</v>
      </c>
      <c r="J7" s="1" t="s">
        <v>22</v>
      </c>
      <c r="K7" s="1" t="s">
        <v>22</v>
      </c>
      <c r="L7" s="1" t="s">
        <v>22</v>
      </c>
      <c r="M7" s="1" t="s">
        <v>22</v>
      </c>
      <c r="N7" s="1" t="s">
        <v>22</v>
      </c>
      <c r="O7" s="1" t="s">
        <v>30</v>
      </c>
      <c r="P7" t="str">
        <f t="shared" si="1"/>
        <v>typedef void one_param_lms7002m_t_num_regs(LMS7002M_t *);</v>
      </c>
    </row>
    <row r="8" spans="1:20" ht="63.75" x14ac:dyDescent="0.2">
      <c r="A8" s="1">
        <v>4</v>
      </c>
      <c r="B8" s="1" t="s">
        <v>37</v>
      </c>
      <c r="C8" s="4" t="s">
        <v>38</v>
      </c>
      <c r="D8" s="1">
        <v>1</v>
      </c>
      <c r="E8" s="1" t="str">
        <f t="shared" si="0"/>
        <v>81</v>
      </c>
      <c r="F8" s="1" t="s">
        <v>26</v>
      </c>
      <c r="G8" s="1" t="s">
        <v>27</v>
      </c>
      <c r="H8" s="1" t="s">
        <v>39</v>
      </c>
      <c r="I8" s="4" t="s">
        <v>29</v>
      </c>
      <c r="J8" s="1" t="s">
        <v>22</v>
      </c>
      <c r="K8" s="1" t="s">
        <v>22</v>
      </c>
      <c r="L8" s="1" t="s">
        <v>22</v>
      </c>
      <c r="M8" s="1" t="s">
        <v>22</v>
      </c>
      <c r="N8" s="1" t="s">
        <v>22</v>
      </c>
      <c r="O8" s="1" t="s">
        <v>30</v>
      </c>
      <c r="P8" t="str">
        <f t="shared" si="1"/>
        <v>typedef void one_param_lms7002m_t_num_power(LMS7002M_t *);</v>
      </c>
    </row>
    <row r="9" spans="1:20" ht="76.5" x14ac:dyDescent="0.2">
      <c r="A9" s="1">
        <v>5</v>
      </c>
      <c r="B9" s="1" t="s">
        <v>40</v>
      </c>
      <c r="C9" s="4" t="s">
        <v>41</v>
      </c>
      <c r="D9" s="1">
        <v>1</v>
      </c>
      <c r="E9" s="1" t="str">
        <f t="shared" si="0"/>
        <v>A1</v>
      </c>
      <c r="F9" s="1" t="s">
        <v>26</v>
      </c>
      <c r="G9" s="1" t="s">
        <v>27</v>
      </c>
      <c r="H9" s="1" t="s">
        <v>39</v>
      </c>
      <c r="I9" s="4" t="s">
        <v>29</v>
      </c>
      <c r="J9" s="1" t="s">
        <v>22</v>
      </c>
      <c r="K9" s="1" t="s">
        <v>22</v>
      </c>
      <c r="L9" s="1" t="s">
        <v>22</v>
      </c>
      <c r="M9" s="1" t="s">
        <v>22</v>
      </c>
      <c r="N9" s="1" t="s">
        <v>22</v>
      </c>
      <c r="O9" s="1" t="s">
        <v>30</v>
      </c>
      <c r="P9" t="str">
        <f t="shared" si="1"/>
        <v>typedef void one_param_lms7002m_t_num_power(LMS7002M_t *);</v>
      </c>
    </row>
    <row r="10" spans="1:20" ht="89.25" x14ac:dyDescent="0.2">
      <c r="A10" s="1">
        <v>6</v>
      </c>
      <c r="B10" s="1" t="s">
        <v>42</v>
      </c>
      <c r="C10" s="4" t="s">
        <v>43</v>
      </c>
      <c r="D10" s="1">
        <v>1</v>
      </c>
      <c r="E10" s="1" t="str">
        <f t="shared" si="0"/>
        <v>C1</v>
      </c>
      <c r="F10" s="1" t="s">
        <v>26</v>
      </c>
      <c r="G10" s="1" t="s">
        <v>27</v>
      </c>
      <c r="H10" s="1" t="s">
        <v>44</v>
      </c>
      <c r="I10" s="4" t="s">
        <v>29</v>
      </c>
      <c r="J10" s="1" t="s">
        <v>22</v>
      </c>
      <c r="K10" s="1" t="s">
        <v>22</v>
      </c>
      <c r="L10" s="1" t="s">
        <v>22</v>
      </c>
      <c r="M10" s="1" t="s">
        <v>22</v>
      </c>
      <c r="N10" s="1" t="s">
        <v>22</v>
      </c>
      <c r="O10" s="1" t="s">
        <v>30</v>
      </c>
      <c r="P10" t="str">
        <f>CONCATENATE("typedef ",O10," ",LOWER(F10), "_",  SUBSTITUTE(LOWER(H10), " ", "_"),"(", I10,");")</f>
        <v>typedef void one_param_lms7002m_t_num_loopback(LMS7002M_t *);</v>
      </c>
    </row>
    <row r="11" spans="1:20" x14ac:dyDescent="0.2">
      <c r="A11" s="1">
        <v>7</v>
      </c>
      <c r="B11" s="1" t="s">
        <v>225</v>
      </c>
      <c r="C11" s="1" t="s">
        <v>244</v>
      </c>
      <c r="D11" s="1">
        <v>1</v>
      </c>
      <c r="E11" s="1" t="s">
        <v>227</v>
      </c>
      <c r="F11" s="1" t="s">
        <v>26</v>
      </c>
      <c r="G11" s="1" t="s">
        <v>27</v>
      </c>
      <c r="H11" s="1" t="s">
        <v>226</v>
      </c>
      <c r="I11" s="4" t="s">
        <v>29</v>
      </c>
      <c r="J11" s="1" t="s">
        <v>22</v>
      </c>
      <c r="K11" s="1" t="s">
        <v>22</v>
      </c>
      <c r="L11" s="1" t="s">
        <v>22</v>
      </c>
      <c r="M11" s="1" t="s">
        <v>22</v>
      </c>
      <c r="N11" s="1" t="s">
        <v>22</v>
      </c>
      <c r="O11" s="1" t="s">
        <v>30</v>
      </c>
      <c r="P11" t="str">
        <f>CONCATENATE("typedef ",O11," ",LOWER(F11), "_",  SUBSTITUTE(LOWER(H11), " ", "_"),"(", I11,");")</f>
        <v>typedef void one_param_lms7002m_t_num_work_mode(LMS7002M_t *);</v>
      </c>
    </row>
    <row r="12" spans="1:20" x14ac:dyDescent="0.2">
      <c r="A12" s="1">
        <v>8</v>
      </c>
      <c r="B12" s="1" t="s">
        <v>256</v>
      </c>
      <c r="C12" s="4" t="s">
        <v>257</v>
      </c>
      <c r="D12" s="1">
        <v>1</v>
      </c>
      <c r="E12" s="1" t="str">
        <f>DEC2HEX(_xlfn.BITOR(_xlfn.BITLSHIFT(A12,5),D12))</f>
        <v>101</v>
      </c>
      <c r="F12" s="1" t="s">
        <v>26</v>
      </c>
      <c r="G12" s="1" t="s">
        <v>27</v>
      </c>
      <c r="H12" s="1" t="s">
        <v>261</v>
      </c>
      <c r="I12" s="4" t="s">
        <v>29</v>
      </c>
      <c r="J12" s="1" t="s">
        <v>22</v>
      </c>
      <c r="K12" s="1" t="s">
        <v>22</v>
      </c>
      <c r="L12" s="1" t="s">
        <v>22</v>
      </c>
      <c r="M12" s="1" t="s">
        <v>22</v>
      </c>
      <c r="N12" s="1" t="s">
        <v>22</v>
      </c>
      <c r="O12" s="1" t="s">
        <v>30</v>
      </c>
      <c r="P12" t="str">
        <f>CONCATENATE("typedef ",O12," ",LOWER(F12), "_",  SUBSTITUTE(LOWER(H12), " ", "_"),"(", I12,");")</f>
        <v>typedef void one_param_lms7002m_t_num_rfic_enable(LMS7002M_t *);</v>
      </c>
    </row>
    <row r="13" spans="1:20" s="8" customFormat="1" x14ac:dyDescent="0.2">
      <c r="A13" s="7" t="s">
        <v>24</v>
      </c>
      <c r="B13" s="7" t="s">
        <v>24</v>
      </c>
      <c r="C13" s="7"/>
      <c r="D13" s="7"/>
      <c r="J13" s="7" t="s">
        <v>24</v>
      </c>
      <c r="K13" s="7" t="s">
        <v>24</v>
      </c>
      <c r="L13" s="7" t="s">
        <v>24</v>
      </c>
      <c r="M13" s="7" t="s">
        <v>24</v>
      </c>
      <c r="N13" s="7" t="s">
        <v>24</v>
      </c>
      <c r="O13" s="7"/>
      <c r="P13" s="7"/>
      <c r="Q13"/>
    </row>
    <row r="14" spans="1:20" ht="102" x14ac:dyDescent="0.2">
      <c r="A14" s="1">
        <v>0</v>
      </c>
      <c r="B14" s="1" t="s">
        <v>45</v>
      </c>
      <c r="C14" s="4" t="s">
        <v>46</v>
      </c>
      <c r="D14" s="1">
        <v>2</v>
      </c>
      <c r="E14" s="1" t="str">
        <f>DEC2HEX(_xlfn.BITOR(_xlfn.BITLSHIFT(A14,5),D14))</f>
        <v>2</v>
      </c>
      <c r="F14" s="6" t="s">
        <v>47</v>
      </c>
      <c r="G14" s="4" t="s">
        <v>48</v>
      </c>
      <c r="H14" s="1" t="s">
        <v>49</v>
      </c>
      <c r="I14" s="4" t="s">
        <v>29</v>
      </c>
      <c r="J14" s="1" t="s">
        <v>50</v>
      </c>
      <c r="K14" s="1" t="s">
        <v>50</v>
      </c>
      <c r="L14" s="1" t="s">
        <v>22</v>
      </c>
      <c r="M14" s="1" t="s">
        <v>22</v>
      </c>
      <c r="N14" s="1" t="s">
        <v>22</v>
      </c>
      <c r="O14" s="1" t="s">
        <v>30</v>
      </c>
      <c r="P14" t="str">
        <f>CONCATENATE("typedef ",O14," ",LOWER(F14), "_",  SUBSTITUTE(LOWER(H14), " ", "_"),"(", I14,");")</f>
        <v>typedef void spi_write_num_spi(LMS7002M_t *);</v>
      </c>
    </row>
    <row r="15" spans="1:20" s="8" customFormat="1" x14ac:dyDescent="0.2">
      <c r="A15" s="7" t="s">
        <v>24</v>
      </c>
      <c r="B15" s="7" t="s">
        <v>24</v>
      </c>
      <c r="C15" s="7"/>
      <c r="D15" s="7"/>
      <c r="J15" s="7" t="s">
        <v>24</v>
      </c>
      <c r="K15" s="7" t="s">
        <v>24</v>
      </c>
      <c r="L15" s="7" t="s">
        <v>24</v>
      </c>
      <c r="M15" s="7" t="s">
        <v>24</v>
      </c>
      <c r="N15" s="7" t="s">
        <v>24</v>
      </c>
      <c r="O15" s="7"/>
      <c r="P15" s="7"/>
      <c r="Q15"/>
    </row>
    <row r="16" spans="1:20" ht="102" x14ac:dyDescent="0.2">
      <c r="A16" s="1">
        <v>0</v>
      </c>
      <c r="B16" s="1" t="s">
        <v>51</v>
      </c>
      <c r="C16" s="4" t="s">
        <v>46</v>
      </c>
      <c r="D16" s="1">
        <v>3</v>
      </c>
      <c r="E16" s="1" t="str">
        <f>DEC2HEX(_xlfn.BITOR(_xlfn.BITLSHIFT(A16,5),D16))</f>
        <v>3</v>
      </c>
      <c r="F16" s="6" t="s">
        <v>52</v>
      </c>
      <c r="G16" s="6" t="s">
        <v>53</v>
      </c>
      <c r="H16" s="1" t="s">
        <v>49</v>
      </c>
      <c r="I16" s="4" t="s">
        <v>29</v>
      </c>
      <c r="J16" s="1" t="s">
        <v>50</v>
      </c>
      <c r="K16" s="1" t="s">
        <v>22</v>
      </c>
      <c r="L16" s="1" t="s">
        <v>22</v>
      </c>
      <c r="M16" s="1" t="s">
        <v>22</v>
      </c>
      <c r="N16" s="1" t="s">
        <v>22</v>
      </c>
      <c r="O16" s="1" t="s">
        <v>54</v>
      </c>
      <c r="P16" t="str">
        <f t="shared" ref="P16:P22" si="2">CONCATENATE("typedef ",O16," ",LOWER(F16), "_",  SUBSTITUTE(LOWER(H16), " ", "_"),"(", I16,");")</f>
        <v>typedef int spi_config_num_spi(LMS7002M_t *);</v>
      </c>
    </row>
    <row r="17" spans="1:17" ht="102" x14ac:dyDescent="0.2">
      <c r="A17" s="1">
        <v>1</v>
      </c>
      <c r="B17" s="1" t="s">
        <v>55</v>
      </c>
      <c r="C17" s="4" t="s">
        <v>46</v>
      </c>
      <c r="D17" s="1">
        <v>3</v>
      </c>
      <c r="E17" s="1" t="str">
        <f>DEC2HEX(_xlfn.BITOR(_xlfn.BITLSHIFT(A17,5),D17))</f>
        <v>23</v>
      </c>
      <c r="F17" s="6" t="s">
        <v>52</v>
      </c>
      <c r="G17" s="6" t="s">
        <v>53</v>
      </c>
      <c r="H17" s="1" t="s">
        <v>49</v>
      </c>
      <c r="I17" s="4" t="s">
        <v>29</v>
      </c>
      <c r="J17" s="1" t="s">
        <v>50</v>
      </c>
      <c r="K17" s="1" t="s">
        <v>22</v>
      </c>
      <c r="L17" s="1" t="s">
        <v>22</v>
      </c>
      <c r="M17" s="1" t="s">
        <v>22</v>
      </c>
      <c r="N17" s="1" t="s">
        <v>22</v>
      </c>
      <c r="O17" s="1" t="s">
        <v>30</v>
      </c>
      <c r="P17" t="str">
        <f t="shared" si="2"/>
        <v>typedef void spi_config_num_spi(LMS7002M_t *);</v>
      </c>
    </row>
    <row r="18" spans="1:17" ht="102" x14ac:dyDescent="0.2">
      <c r="A18" s="1">
        <v>2</v>
      </c>
      <c r="B18" s="1" t="s">
        <v>56</v>
      </c>
      <c r="C18" s="4" t="s">
        <v>57</v>
      </c>
      <c r="D18" s="1">
        <v>3</v>
      </c>
      <c r="E18" s="1" t="str">
        <f>DEC2HEX(_xlfn.BITOR(_xlfn.BITLSHIFT(A18,5),D18))</f>
        <v>43</v>
      </c>
      <c r="F18" s="6" t="s">
        <v>52</v>
      </c>
      <c r="G18" s="6" t="s">
        <v>53</v>
      </c>
      <c r="H18" s="1" t="s">
        <v>49</v>
      </c>
      <c r="I18" s="4" t="s">
        <v>29</v>
      </c>
      <c r="J18" s="1" t="s">
        <v>50</v>
      </c>
      <c r="K18" s="1" t="s">
        <v>22</v>
      </c>
      <c r="L18" s="1" t="s">
        <v>22</v>
      </c>
      <c r="M18" s="1" t="s">
        <v>22</v>
      </c>
      <c r="N18" s="1" t="s">
        <v>22</v>
      </c>
      <c r="O18" s="1" t="s">
        <v>30</v>
      </c>
      <c r="P18" t="str">
        <f t="shared" si="2"/>
        <v>typedef void spi_config_num_spi(LMS7002M_t *);</v>
      </c>
    </row>
    <row r="19" spans="1:17" ht="63.75" x14ac:dyDescent="0.2">
      <c r="A19" s="1">
        <v>3</v>
      </c>
      <c r="B19" s="1" t="s">
        <v>58</v>
      </c>
      <c r="C19" s="4" t="s">
        <v>59</v>
      </c>
      <c r="D19" s="1">
        <v>3</v>
      </c>
      <c r="E19" s="1" t="str">
        <f>DEC2HEX(_xlfn.BITOR(_xlfn.BITLSHIFT(A19,5),D19))</f>
        <v>63</v>
      </c>
      <c r="F19" s="6" t="s">
        <v>52</v>
      </c>
      <c r="G19" s="6" t="s">
        <v>53</v>
      </c>
      <c r="H19" s="1" t="s">
        <v>49</v>
      </c>
      <c r="I19" s="4" t="s">
        <v>29</v>
      </c>
      <c r="J19" s="1" t="s">
        <v>50</v>
      </c>
      <c r="K19" s="1" t="s">
        <v>22</v>
      </c>
      <c r="L19" s="1" t="s">
        <v>22</v>
      </c>
      <c r="M19" s="1" t="s">
        <v>22</v>
      </c>
      <c r="N19" s="1" t="s">
        <v>22</v>
      </c>
      <c r="O19" s="1" t="s">
        <v>30</v>
      </c>
      <c r="P19" t="str">
        <f t="shared" si="2"/>
        <v>typedef void spi_config_num_spi(LMS7002M_t *);</v>
      </c>
    </row>
    <row r="20" spans="1:17" s="8" customFormat="1" x14ac:dyDescent="0.2">
      <c r="A20" s="7" t="s">
        <v>24</v>
      </c>
      <c r="B20" s="7" t="s">
        <v>24</v>
      </c>
      <c r="C20" s="7"/>
      <c r="D20" s="7"/>
      <c r="J20" s="7" t="s">
        <v>24</v>
      </c>
      <c r="K20" s="7" t="s">
        <v>24</v>
      </c>
      <c r="L20" s="7" t="s">
        <v>24</v>
      </c>
      <c r="M20" s="7" t="s">
        <v>24</v>
      </c>
      <c r="N20" s="7" t="s">
        <v>24</v>
      </c>
      <c r="O20" s="7"/>
      <c r="P20" t="str">
        <f t="shared" si="2"/>
        <v>typedef  _();</v>
      </c>
      <c r="Q20"/>
    </row>
    <row r="21" spans="1:17" ht="51" x14ac:dyDescent="0.2">
      <c r="A21" s="1">
        <v>0</v>
      </c>
      <c r="B21" s="1" t="s">
        <v>60</v>
      </c>
      <c r="C21" s="2" t="s">
        <v>61</v>
      </c>
      <c r="D21" s="1">
        <v>4</v>
      </c>
      <c r="E21" s="1" t="str">
        <f>DEC2HEX(_xlfn.BITOR(_xlfn.BITLSHIFT(A21,5),D21))</f>
        <v>4</v>
      </c>
      <c r="F21" s="6" t="s">
        <v>62</v>
      </c>
      <c r="G21" s="4" t="s">
        <v>63</v>
      </c>
      <c r="H21" s="1" t="s">
        <v>64</v>
      </c>
      <c r="I21" s="4" t="s">
        <v>29</v>
      </c>
      <c r="J21" s="1" t="s">
        <v>65</v>
      </c>
      <c r="K21" s="1" t="s">
        <v>22</v>
      </c>
      <c r="L21" s="1" t="s">
        <v>22</v>
      </c>
      <c r="M21" s="1" t="s">
        <v>22</v>
      </c>
      <c r="N21" s="1" t="s">
        <v>22</v>
      </c>
      <c r="O21" s="1" t="s">
        <v>54</v>
      </c>
      <c r="P21" t="str">
        <f t="shared" si="2"/>
        <v>typedef int ini_num_ini(LMS7002M_t *);</v>
      </c>
    </row>
    <row r="22" spans="1:17" ht="38.25" x14ac:dyDescent="0.2">
      <c r="A22" s="1">
        <v>1</v>
      </c>
      <c r="B22" s="1" t="s">
        <v>66</v>
      </c>
      <c r="C22" s="2" t="s">
        <v>67</v>
      </c>
      <c r="D22" s="1">
        <v>4</v>
      </c>
      <c r="E22" s="1" t="str">
        <f>DEC2HEX(_xlfn.BITOR(_xlfn.BITLSHIFT(A22,5),D22))</f>
        <v>24</v>
      </c>
      <c r="F22" s="6" t="s">
        <v>62</v>
      </c>
      <c r="G22" s="4" t="s">
        <v>63</v>
      </c>
      <c r="H22" s="1" t="s">
        <v>64</v>
      </c>
      <c r="I22" s="4" t="s">
        <v>29</v>
      </c>
      <c r="J22" s="1" t="s">
        <v>65</v>
      </c>
      <c r="K22" s="1" t="s">
        <v>22</v>
      </c>
      <c r="L22" s="1" t="s">
        <v>22</v>
      </c>
      <c r="M22" s="1" t="s">
        <v>22</v>
      </c>
      <c r="N22" s="1" t="s">
        <v>22</v>
      </c>
      <c r="O22" s="1" t="s">
        <v>54</v>
      </c>
      <c r="P22" t="str">
        <f t="shared" si="2"/>
        <v>typedef int ini_num_ini(LMS7002M_t *);</v>
      </c>
    </row>
    <row r="23" spans="1:17" s="8" customFormat="1" x14ac:dyDescent="0.2">
      <c r="A23" s="7" t="s">
        <v>24</v>
      </c>
      <c r="B23" s="7" t="s">
        <v>24</v>
      </c>
      <c r="C23" s="7"/>
      <c r="D23" s="7"/>
      <c r="J23" s="7" t="s">
        <v>24</v>
      </c>
      <c r="K23" s="7" t="s">
        <v>24</v>
      </c>
      <c r="L23" s="7" t="s">
        <v>24</v>
      </c>
      <c r="M23" s="7" t="s">
        <v>24</v>
      </c>
      <c r="N23" s="7" t="s">
        <v>24</v>
      </c>
      <c r="O23" s="7"/>
      <c r="P23" s="7"/>
      <c r="Q23"/>
    </row>
    <row r="24" spans="1:17" ht="178.5" x14ac:dyDescent="0.2">
      <c r="A24" s="1">
        <v>0</v>
      </c>
      <c r="B24" s="1" t="s">
        <v>68</v>
      </c>
      <c r="C24" s="4" t="s">
        <v>69</v>
      </c>
      <c r="D24" s="1">
        <v>5</v>
      </c>
      <c r="E24" s="1" t="str">
        <f>DEC2HEX(_xlfn.BITOR(_xlfn.BITLSHIFT(A24,5),D24))</f>
        <v>5</v>
      </c>
      <c r="F24" s="1" t="s">
        <v>70</v>
      </c>
      <c r="G24" s="6" t="s">
        <v>71</v>
      </c>
      <c r="H24" s="1" t="s">
        <v>44</v>
      </c>
      <c r="I24" s="4" t="s">
        <v>29</v>
      </c>
      <c r="J24" s="1" t="s">
        <v>72</v>
      </c>
      <c r="K24" s="1" t="s">
        <v>73</v>
      </c>
      <c r="L24" s="1" t="s">
        <v>50</v>
      </c>
      <c r="M24" s="1" t="s">
        <v>22</v>
      </c>
      <c r="N24" s="1" t="s">
        <v>22</v>
      </c>
      <c r="O24" s="1" t="s">
        <v>30</v>
      </c>
      <c r="P24" t="str">
        <f>CONCATENATE("typedef ",O24," ",LOWER(F24), "_",  SUBSTITUTE(LOWER(H24), " ", "_"),"(", I24,");")</f>
        <v>typedef void configure_lml_port_num_loopback(LMS7002M_t *);</v>
      </c>
    </row>
    <row r="25" spans="1:17" s="8" customFormat="1" x14ac:dyDescent="0.2">
      <c r="A25" s="7" t="s">
        <v>24</v>
      </c>
      <c r="B25" s="7" t="s">
        <v>24</v>
      </c>
      <c r="C25" s="7"/>
      <c r="D25" s="7"/>
      <c r="J25" s="7" t="s">
        <v>24</v>
      </c>
      <c r="K25" s="7" t="s">
        <v>24</v>
      </c>
      <c r="L25" s="7" t="s">
        <v>24</v>
      </c>
      <c r="M25" s="7" t="s">
        <v>24</v>
      </c>
      <c r="N25" s="7" t="s">
        <v>24</v>
      </c>
      <c r="O25" s="7"/>
      <c r="P25" s="7"/>
      <c r="Q25"/>
    </row>
    <row r="26" spans="1:17" ht="51" x14ac:dyDescent="0.2">
      <c r="A26" s="1">
        <v>0</v>
      </c>
      <c r="B26" s="1" t="s">
        <v>74</v>
      </c>
      <c r="C26" s="2" t="s">
        <v>75</v>
      </c>
      <c r="D26" s="1">
        <v>6</v>
      </c>
      <c r="E26" s="1" t="str">
        <f t="shared" ref="E26:E34" si="3">DEC2HEX(_xlfn.BITOR(_xlfn.BITLSHIFT(A26,5),D26))</f>
        <v>6</v>
      </c>
      <c r="F26" s="1" t="s">
        <v>76</v>
      </c>
      <c r="G26" s="4" t="s">
        <v>77</v>
      </c>
      <c r="H26" s="1" t="s">
        <v>78</v>
      </c>
      <c r="I26" s="4" t="s">
        <v>29</v>
      </c>
      <c r="J26" s="1" t="s">
        <v>79</v>
      </c>
      <c r="K26" s="1" t="s">
        <v>22</v>
      </c>
      <c r="L26" s="1" t="s">
        <v>22</v>
      </c>
      <c r="M26" s="1" t="s">
        <v>22</v>
      </c>
      <c r="N26" s="1" t="s">
        <v>22</v>
      </c>
      <c r="O26" s="1" t="s">
        <v>30</v>
      </c>
      <c r="P26" t="str">
        <f t="shared" ref="P26:P34" si="4">CONCATENATE("typedef ",O26," ",LOWER(F26), "_",  SUBSTITUTE(LOWER(H26), " ", "_"),"(", I26,");")</f>
        <v>typedef void one_param_const_bool_num_other(LMS7002M_t *);</v>
      </c>
    </row>
    <row r="27" spans="1:17" ht="76.5" x14ac:dyDescent="0.2">
      <c r="A27" s="1">
        <v>1</v>
      </c>
      <c r="B27" s="1" t="s">
        <v>80</v>
      </c>
      <c r="C27" s="4" t="s">
        <v>81</v>
      </c>
      <c r="D27" s="1">
        <v>6</v>
      </c>
      <c r="E27" s="1" t="str">
        <f t="shared" si="3"/>
        <v>26</v>
      </c>
      <c r="F27" s="1" t="s">
        <v>76</v>
      </c>
      <c r="G27" s="4" t="s">
        <v>77</v>
      </c>
      <c r="H27" s="1" t="s">
        <v>82</v>
      </c>
      <c r="I27" s="4" t="s">
        <v>29</v>
      </c>
      <c r="J27" s="1" t="s">
        <v>79</v>
      </c>
      <c r="K27" s="1" t="s">
        <v>22</v>
      </c>
      <c r="L27" s="1" t="s">
        <v>22</v>
      </c>
      <c r="M27" s="1" t="s">
        <v>22</v>
      </c>
      <c r="N27" s="1" t="s">
        <v>22</v>
      </c>
      <c r="O27" s="1" t="s">
        <v>30</v>
      </c>
      <c r="P27" t="str">
        <f t="shared" si="4"/>
        <v>typedef void one_param_const_bool_num_buff(LMS7002M_t *);</v>
      </c>
    </row>
    <row r="28" spans="1:17" ht="76.5" x14ac:dyDescent="0.2">
      <c r="A28" s="1">
        <v>2</v>
      </c>
      <c r="B28" s="1" t="s">
        <v>83</v>
      </c>
      <c r="C28" s="4" t="s">
        <v>84</v>
      </c>
      <c r="D28" s="1">
        <v>6</v>
      </c>
      <c r="E28" s="1" t="str">
        <f t="shared" si="3"/>
        <v>46</v>
      </c>
      <c r="F28" s="1" t="s">
        <v>76</v>
      </c>
      <c r="G28" s="4" t="s">
        <v>77</v>
      </c>
      <c r="H28" s="1" t="s">
        <v>82</v>
      </c>
      <c r="I28" s="4" t="s">
        <v>29</v>
      </c>
      <c r="J28" s="1" t="s">
        <v>79</v>
      </c>
      <c r="K28" s="1" t="s">
        <v>22</v>
      </c>
      <c r="L28" s="1" t="s">
        <v>22</v>
      </c>
      <c r="M28" s="1" t="s">
        <v>22</v>
      </c>
      <c r="N28" s="1" t="s">
        <v>22</v>
      </c>
      <c r="O28" s="1" t="s">
        <v>30</v>
      </c>
      <c r="P28" t="str">
        <f t="shared" si="4"/>
        <v>typedef void one_param_const_bool_num_buff(LMS7002M_t *);</v>
      </c>
    </row>
    <row r="29" spans="1:17" ht="89.25" x14ac:dyDescent="0.2">
      <c r="A29" s="1">
        <v>3</v>
      </c>
      <c r="B29" s="1" t="s">
        <v>85</v>
      </c>
      <c r="C29" s="4" t="s">
        <v>86</v>
      </c>
      <c r="D29" s="1">
        <v>6</v>
      </c>
      <c r="E29" s="1" t="str">
        <f t="shared" si="3"/>
        <v>66</v>
      </c>
      <c r="F29" s="1" t="s">
        <v>76</v>
      </c>
      <c r="G29" s="4" t="s">
        <v>77</v>
      </c>
      <c r="H29" s="1" t="s">
        <v>78</v>
      </c>
      <c r="I29" s="4" t="s">
        <v>29</v>
      </c>
      <c r="J29" s="1" t="s">
        <v>79</v>
      </c>
      <c r="K29" s="1" t="s">
        <v>22</v>
      </c>
      <c r="L29" s="1" t="s">
        <v>22</v>
      </c>
      <c r="M29" s="1" t="s">
        <v>22</v>
      </c>
      <c r="N29" s="1" t="s">
        <v>22</v>
      </c>
      <c r="O29" s="1" t="s">
        <v>30</v>
      </c>
      <c r="P29" t="str">
        <f t="shared" si="4"/>
        <v>typedef void one_param_const_bool_num_other(LMS7002M_t *);</v>
      </c>
    </row>
    <row r="30" spans="1:17" ht="38.25" x14ac:dyDescent="0.2">
      <c r="A30" s="1">
        <v>4</v>
      </c>
      <c r="B30" s="1" t="s">
        <v>246</v>
      </c>
      <c r="C30" s="4" t="s">
        <v>249</v>
      </c>
      <c r="D30" s="1">
        <v>6</v>
      </c>
      <c r="E30" s="1" t="str">
        <f t="shared" si="3"/>
        <v>86</v>
      </c>
      <c r="F30" s="1" t="s">
        <v>76</v>
      </c>
      <c r="G30" s="4" t="s">
        <v>77</v>
      </c>
      <c r="H30" s="1" t="s">
        <v>261</v>
      </c>
      <c r="I30" s="4" t="s">
        <v>29</v>
      </c>
      <c r="J30" s="1" t="s">
        <v>79</v>
      </c>
      <c r="K30" s="1" t="s">
        <v>22</v>
      </c>
      <c r="L30" s="1" t="s">
        <v>22</v>
      </c>
      <c r="M30" s="1" t="s">
        <v>22</v>
      </c>
      <c r="N30" s="1" t="s">
        <v>22</v>
      </c>
      <c r="O30" s="1" t="s">
        <v>30</v>
      </c>
      <c r="P30" t="str">
        <f t="shared" si="4"/>
        <v>typedef void one_param_const_bool_num_rfic_enable(LMS7002M_t *);</v>
      </c>
    </row>
    <row r="31" spans="1:17" ht="38.25" x14ac:dyDescent="0.2">
      <c r="A31" s="1">
        <v>5</v>
      </c>
      <c r="B31" s="1" t="s">
        <v>248</v>
      </c>
      <c r="C31" s="4" t="s">
        <v>250</v>
      </c>
      <c r="D31" s="1">
        <v>6</v>
      </c>
      <c r="E31" s="1" t="str">
        <f t="shared" si="3"/>
        <v>A6</v>
      </c>
      <c r="F31" s="1" t="s">
        <v>76</v>
      </c>
      <c r="G31" s="4" t="s">
        <v>77</v>
      </c>
      <c r="H31" s="1" t="s">
        <v>261</v>
      </c>
      <c r="I31" s="4" t="s">
        <v>29</v>
      </c>
      <c r="J31" s="1" t="s">
        <v>79</v>
      </c>
      <c r="K31" s="1" t="s">
        <v>22</v>
      </c>
      <c r="L31" s="1" t="s">
        <v>22</v>
      </c>
      <c r="M31" s="1" t="s">
        <v>22</v>
      </c>
      <c r="N31" s="1" t="s">
        <v>22</v>
      </c>
      <c r="O31" s="1" t="s">
        <v>30</v>
      </c>
      <c r="P31" t="str">
        <f t="shared" si="4"/>
        <v>typedef void one_param_const_bool_num_rfic_enable(LMS7002M_t *);</v>
      </c>
    </row>
    <row r="32" spans="1:17" ht="38.25" x14ac:dyDescent="0.2">
      <c r="A32" s="1">
        <v>6</v>
      </c>
      <c r="B32" s="1" t="s">
        <v>251</v>
      </c>
      <c r="C32" s="4" t="s">
        <v>247</v>
      </c>
      <c r="D32" s="1">
        <v>6</v>
      </c>
      <c r="E32" s="1" t="str">
        <f t="shared" si="3"/>
        <v>C6</v>
      </c>
      <c r="F32" s="1" t="s">
        <v>76</v>
      </c>
      <c r="G32" s="4" t="s">
        <v>77</v>
      </c>
      <c r="H32" s="1" t="s">
        <v>261</v>
      </c>
      <c r="I32" s="4" t="s">
        <v>29</v>
      </c>
      <c r="J32" s="1" t="s">
        <v>79</v>
      </c>
      <c r="K32" s="1" t="s">
        <v>22</v>
      </c>
      <c r="L32" s="1" t="s">
        <v>22</v>
      </c>
      <c r="M32" s="1" t="s">
        <v>22</v>
      </c>
      <c r="N32" s="1" t="s">
        <v>22</v>
      </c>
      <c r="O32" s="1" t="s">
        <v>30</v>
      </c>
      <c r="P32" t="str">
        <f t="shared" si="4"/>
        <v>typedef void one_param_const_bool_num_rfic_enable(LMS7002M_t *);</v>
      </c>
    </row>
    <row r="33" spans="1:17" ht="38.25" x14ac:dyDescent="0.2">
      <c r="A33" s="1">
        <v>7</v>
      </c>
      <c r="B33" s="1" t="s">
        <v>252</v>
      </c>
      <c r="C33" s="4" t="s">
        <v>253</v>
      </c>
      <c r="D33" s="1">
        <v>6</v>
      </c>
      <c r="E33" s="1" t="str">
        <f t="shared" si="3"/>
        <v>E6</v>
      </c>
      <c r="F33" s="1" t="s">
        <v>76</v>
      </c>
      <c r="G33" s="4" t="s">
        <v>77</v>
      </c>
      <c r="H33" s="1" t="s">
        <v>261</v>
      </c>
      <c r="I33" s="4" t="s">
        <v>29</v>
      </c>
      <c r="J33" s="1" t="s">
        <v>79</v>
      </c>
      <c r="K33" s="1" t="s">
        <v>22</v>
      </c>
      <c r="L33" s="1" t="s">
        <v>22</v>
      </c>
      <c r="M33" s="1" t="s">
        <v>22</v>
      </c>
      <c r="N33" s="1" t="s">
        <v>22</v>
      </c>
      <c r="O33" s="1" t="s">
        <v>30</v>
      </c>
      <c r="P33" t="str">
        <f t="shared" si="4"/>
        <v>typedef void one_param_const_bool_num_rfic_enable(LMS7002M_t *);</v>
      </c>
    </row>
    <row r="34" spans="1:17" ht="38.25" x14ac:dyDescent="0.2">
      <c r="A34" s="1">
        <v>8</v>
      </c>
      <c r="B34" s="1" t="s">
        <v>255</v>
      </c>
      <c r="C34" s="4" t="s">
        <v>254</v>
      </c>
      <c r="D34" s="1">
        <v>6</v>
      </c>
      <c r="E34" s="1" t="str">
        <f t="shared" si="3"/>
        <v>106</v>
      </c>
      <c r="F34" s="1" t="s">
        <v>76</v>
      </c>
      <c r="G34" s="4" t="s">
        <v>77</v>
      </c>
      <c r="H34" s="1" t="s">
        <v>261</v>
      </c>
      <c r="I34" s="4" t="s">
        <v>29</v>
      </c>
      <c r="J34" s="1" t="s">
        <v>79</v>
      </c>
      <c r="K34" s="1" t="s">
        <v>22</v>
      </c>
      <c r="L34" s="1" t="s">
        <v>22</v>
      </c>
      <c r="M34" s="1" t="s">
        <v>22</v>
      </c>
      <c r="N34" s="1" t="s">
        <v>22</v>
      </c>
      <c r="O34" s="1" t="s">
        <v>30</v>
      </c>
      <c r="P34" t="str">
        <f t="shared" si="4"/>
        <v>typedef void one_param_const_bool_num_rfic_enable(LMS7002M_t *);</v>
      </c>
    </row>
    <row r="35" spans="1:17" s="8" customFormat="1" x14ac:dyDescent="0.2">
      <c r="A35" s="7" t="s">
        <v>24</v>
      </c>
      <c r="B35" s="7" t="s">
        <v>24</v>
      </c>
      <c r="C35" s="7"/>
      <c r="D35" s="7"/>
      <c r="J35" s="7" t="s">
        <v>24</v>
      </c>
      <c r="K35" s="7" t="s">
        <v>24</v>
      </c>
      <c r="L35" s="7" t="s">
        <v>24</v>
      </c>
      <c r="M35" s="7" t="s">
        <v>24</v>
      </c>
      <c r="N35" s="7" t="s">
        <v>24</v>
      </c>
      <c r="O35" s="7"/>
      <c r="P35" s="7"/>
      <c r="Q35"/>
    </row>
    <row r="36" spans="1:17" ht="51" x14ac:dyDescent="0.2">
      <c r="A36" s="1">
        <v>0</v>
      </c>
      <c r="B36" s="1" t="s">
        <v>87</v>
      </c>
      <c r="C36" s="4" t="s">
        <v>88</v>
      </c>
      <c r="D36" s="1">
        <v>7</v>
      </c>
      <c r="E36" s="1" t="str">
        <f t="shared" ref="E36:E42" si="5">DEC2HEX(_xlfn.BITOR(_xlfn.BITLSHIFT(A36,5),D36))</f>
        <v>7</v>
      </c>
      <c r="F36" s="1" t="s">
        <v>89</v>
      </c>
      <c r="G36" s="4" t="s">
        <v>90</v>
      </c>
      <c r="H36" s="1" t="s">
        <v>82</v>
      </c>
      <c r="I36" s="4" t="s">
        <v>29</v>
      </c>
      <c r="J36" s="1" t="s">
        <v>73</v>
      </c>
      <c r="K36" s="1" t="s">
        <v>22</v>
      </c>
      <c r="L36" s="1" t="s">
        <v>22</v>
      </c>
      <c r="M36" s="1" t="s">
        <v>22</v>
      </c>
      <c r="N36" s="1" t="s">
        <v>22</v>
      </c>
      <c r="O36" s="1" t="s">
        <v>30</v>
      </c>
      <c r="P36" t="str">
        <f t="shared" ref="P36:P42" si="6">CONCATENATE("typedef ",O36," ",LOWER(F36), "_",  SUBSTITUTE(LOWER(H36), " ", "_"),"(", I36,");")</f>
        <v>typedef void one_param_lms7002m_chan_num_buff(LMS7002M_t *);</v>
      </c>
    </row>
    <row r="37" spans="1:17" ht="127.5" x14ac:dyDescent="0.2">
      <c r="A37" s="1">
        <v>1</v>
      </c>
      <c r="B37" s="1" t="s">
        <v>91</v>
      </c>
      <c r="C37" s="4" t="s">
        <v>92</v>
      </c>
      <c r="D37" s="1">
        <v>7</v>
      </c>
      <c r="E37" s="1" t="str">
        <f t="shared" si="5"/>
        <v>27</v>
      </c>
      <c r="F37" s="1" t="s">
        <v>89</v>
      </c>
      <c r="G37" s="4" t="s">
        <v>90</v>
      </c>
      <c r="H37" s="1" t="s">
        <v>93</v>
      </c>
      <c r="I37" s="4" t="s">
        <v>29</v>
      </c>
      <c r="J37" s="1" t="s">
        <v>73</v>
      </c>
      <c r="K37" s="1" t="s">
        <v>22</v>
      </c>
      <c r="L37" s="1" t="s">
        <v>22</v>
      </c>
      <c r="M37" s="1" t="s">
        <v>22</v>
      </c>
      <c r="N37" s="1" t="s">
        <v>22</v>
      </c>
      <c r="O37" s="1" t="s">
        <v>30</v>
      </c>
      <c r="P37" t="str">
        <f t="shared" si="6"/>
        <v>typedef void one_param_lms7002m_chan_num_mac(LMS7002M_t *);</v>
      </c>
    </row>
    <row r="38" spans="1:17" ht="102" x14ac:dyDescent="0.2">
      <c r="A38" s="1">
        <v>2</v>
      </c>
      <c r="B38" s="1" t="s">
        <v>94</v>
      </c>
      <c r="C38" s="4" t="s">
        <v>95</v>
      </c>
      <c r="D38" s="1">
        <v>7</v>
      </c>
      <c r="E38" s="1" t="str">
        <f t="shared" si="5"/>
        <v>47</v>
      </c>
      <c r="F38" s="1" t="s">
        <v>89</v>
      </c>
      <c r="G38" s="4" t="s">
        <v>90</v>
      </c>
      <c r="H38" s="1" t="s">
        <v>93</v>
      </c>
      <c r="I38" s="4" t="s">
        <v>29</v>
      </c>
      <c r="J38" s="9" t="s">
        <v>96</v>
      </c>
      <c r="K38" s="1" t="s">
        <v>22</v>
      </c>
      <c r="L38" s="1" t="s">
        <v>22</v>
      </c>
      <c r="M38" s="1" t="s">
        <v>22</v>
      </c>
      <c r="N38" s="1" t="s">
        <v>22</v>
      </c>
      <c r="O38" s="1" t="s">
        <v>30</v>
      </c>
      <c r="P38" t="str">
        <f t="shared" si="6"/>
        <v>typedef void one_param_lms7002m_chan_num_mac(LMS7002M_t *);</v>
      </c>
    </row>
    <row r="39" spans="1:17" ht="76.5" x14ac:dyDescent="0.2">
      <c r="A39" s="1">
        <v>3</v>
      </c>
      <c r="B39" s="1" t="s">
        <v>97</v>
      </c>
      <c r="C39" s="4" t="s">
        <v>98</v>
      </c>
      <c r="D39" s="1">
        <v>7</v>
      </c>
      <c r="E39" s="1" t="str">
        <f t="shared" si="5"/>
        <v>67</v>
      </c>
      <c r="F39" s="1" t="s">
        <v>89</v>
      </c>
      <c r="G39" s="4" t="s">
        <v>90</v>
      </c>
      <c r="H39" s="1" t="s">
        <v>99</v>
      </c>
      <c r="I39" s="4" t="s">
        <v>29</v>
      </c>
      <c r="J39" s="3" t="s">
        <v>96</v>
      </c>
      <c r="K39" s="1" t="s">
        <v>22</v>
      </c>
      <c r="L39" s="1" t="s">
        <v>22</v>
      </c>
      <c r="M39" s="1" t="s">
        <v>22</v>
      </c>
      <c r="N39" s="1" t="s">
        <v>22</v>
      </c>
      <c r="O39" s="1" t="s">
        <v>30</v>
      </c>
      <c r="P39" t="str">
        <f t="shared" si="6"/>
        <v>typedef void one_param_lms7002m_chan_num_enable_channel(LMS7002M_t *);</v>
      </c>
    </row>
    <row r="40" spans="1:17" ht="25.5" x14ac:dyDescent="0.2">
      <c r="A40" s="1">
        <v>4</v>
      </c>
      <c r="B40" s="1" t="s">
        <v>100</v>
      </c>
      <c r="C40" s="1" t="s">
        <v>100</v>
      </c>
      <c r="D40" s="1">
        <v>7</v>
      </c>
      <c r="E40" s="1" t="str">
        <f t="shared" si="5"/>
        <v>87</v>
      </c>
      <c r="F40" s="1" t="s">
        <v>89</v>
      </c>
      <c r="G40" s="4" t="s">
        <v>90</v>
      </c>
      <c r="H40" s="1" t="s">
        <v>99</v>
      </c>
      <c r="I40" s="4" t="s">
        <v>29</v>
      </c>
      <c r="J40" s="3" t="s">
        <v>96</v>
      </c>
      <c r="K40" s="1" t="s">
        <v>22</v>
      </c>
      <c r="L40" s="1" t="s">
        <v>22</v>
      </c>
      <c r="M40" s="1" t="s">
        <v>22</v>
      </c>
      <c r="N40" s="1" t="s">
        <v>22</v>
      </c>
      <c r="O40" s="1" t="s">
        <v>30</v>
      </c>
      <c r="P40" t="str">
        <f t="shared" si="6"/>
        <v>typedef void one_param_lms7002m_chan_num_enable_channel(LMS7002M_t *);</v>
      </c>
    </row>
    <row r="41" spans="1:17" ht="25.5" x14ac:dyDescent="0.2">
      <c r="A41" s="1">
        <v>5</v>
      </c>
      <c r="B41" s="1" t="s">
        <v>101</v>
      </c>
      <c r="D41" s="1">
        <v>7</v>
      </c>
      <c r="E41" s="1" t="str">
        <f t="shared" si="5"/>
        <v>A7</v>
      </c>
      <c r="F41" s="1" t="s">
        <v>89</v>
      </c>
      <c r="G41" s="4" t="s">
        <v>90</v>
      </c>
      <c r="H41" s="1" t="s">
        <v>99</v>
      </c>
      <c r="I41" s="4" t="s">
        <v>29</v>
      </c>
      <c r="J41" s="3" t="s">
        <v>96</v>
      </c>
      <c r="K41" s="1" t="s">
        <v>22</v>
      </c>
      <c r="L41" s="1" t="s">
        <v>22</v>
      </c>
      <c r="M41" s="1" t="s">
        <v>22</v>
      </c>
      <c r="N41" s="1" t="s">
        <v>22</v>
      </c>
      <c r="O41" s="1" t="s">
        <v>54</v>
      </c>
      <c r="P41" t="str">
        <f t="shared" si="6"/>
        <v>typedef int one_param_lms7002m_chan_num_enable_channel(LMS7002M_t *);</v>
      </c>
    </row>
    <row r="42" spans="1:17" ht="25.5" x14ac:dyDescent="0.2">
      <c r="A42" s="1">
        <v>6</v>
      </c>
      <c r="B42" s="1" t="s">
        <v>102</v>
      </c>
      <c r="D42" s="1">
        <v>7</v>
      </c>
      <c r="E42" s="1" t="str">
        <f t="shared" si="5"/>
        <v>C7</v>
      </c>
      <c r="F42" s="1" t="s">
        <v>89</v>
      </c>
      <c r="G42" s="4" t="s">
        <v>90</v>
      </c>
      <c r="H42" s="1" t="s">
        <v>99</v>
      </c>
      <c r="I42" s="4" t="s">
        <v>29</v>
      </c>
      <c r="J42" s="3" t="s">
        <v>96</v>
      </c>
      <c r="K42" s="1" t="s">
        <v>22</v>
      </c>
      <c r="L42" s="1" t="s">
        <v>22</v>
      </c>
      <c r="M42" s="1" t="s">
        <v>22</v>
      </c>
      <c r="N42" s="1" t="s">
        <v>22</v>
      </c>
      <c r="O42" s="1" t="s">
        <v>54</v>
      </c>
      <c r="P42" t="str">
        <f t="shared" si="6"/>
        <v>typedef int one_param_lms7002m_chan_num_enable_channel(LMS7002M_t *);</v>
      </c>
    </row>
    <row r="43" spans="1:17" s="8" customFormat="1" x14ac:dyDescent="0.2">
      <c r="A43" s="7" t="s">
        <v>24</v>
      </c>
      <c r="B43" s="7" t="s">
        <v>24</v>
      </c>
      <c r="C43" s="7"/>
      <c r="D43" s="7"/>
      <c r="J43" s="7" t="s">
        <v>24</v>
      </c>
      <c r="K43" s="7" t="s">
        <v>24</v>
      </c>
      <c r="L43" s="7" t="s">
        <v>24</v>
      </c>
      <c r="M43" s="7" t="s">
        <v>24</v>
      </c>
      <c r="N43" s="7" t="s">
        <v>24</v>
      </c>
      <c r="O43" s="7"/>
      <c r="P43" s="7"/>
      <c r="Q43"/>
    </row>
    <row r="44" spans="1:17" ht="102" x14ac:dyDescent="0.2">
      <c r="A44" s="1">
        <v>0</v>
      </c>
      <c r="B44" s="1" t="s">
        <v>103</v>
      </c>
      <c r="C44" s="4" t="s">
        <v>236</v>
      </c>
      <c r="D44" s="1">
        <v>8</v>
      </c>
      <c r="E44" s="1" t="str">
        <f>DEC2HEX(_xlfn.BITOR(_xlfn.BITLSHIFT(A44,5),D44))</f>
        <v>8</v>
      </c>
      <c r="F44" s="6" t="s">
        <v>104</v>
      </c>
      <c r="G44" s="4" t="s">
        <v>105</v>
      </c>
      <c r="H44" s="1" t="s">
        <v>106</v>
      </c>
      <c r="I44" s="4" t="s">
        <v>29</v>
      </c>
      <c r="J44" s="1" t="s">
        <v>73</v>
      </c>
      <c r="K44" s="1" t="s">
        <v>237</v>
      </c>
      <c r="L44" s="1" t="s">
        <v>22</v>
      </c>
      <c r="M44" s="1" t="s">
        <v>22</v>
      </c>
      <c r="N44" s="1" t="s">
        <v>22</v>
      </c>
      <c r="O44" s="1" t="s">
        <v>30</v>
      </c>
      <c r="P44" t="str">
        <f>CONCATENATE("typedef ",O44," ",LOWER(F44), "_",  SUBSTITUTE(LOWER(H44), " ", "_"),"(", I44,");")</f>
        <v>typedef void two_param_lms7002m_dir_int_num_iq(LMS7002M_t *);</v>
      </c>
    </row>
    <row r="45" spans="1:17" s="8" customFormat="1" x14ac:dyDescent="0.2">
      <c r="A45" s="7" t="s">
        <v>24</v>
      </c>
      <c r="B45" s="7" t="s">
        <v>24</v>
      </c>
      <c r="C45" s="7"/>
      <c r="D45" s="7"/>
      <c r="J45" s="7" t="s">
        <v>24</v>
      </c>
      <c r="K45" s="7" t="s">
        <v>24</v>
      </c>
      <c r="L45" s="7" t="s">
        <v>24</v>
      </c>
      <c r="M45" s="7" t="s">
        <v>24</v>
      </c>
      <c r="N45" s="7" t="s">
        <v>24</v>
      </c>
      <c r="O45" s="7"/>
      <c r="P45" s="7"/>
      <c r="Q45"/>
    </row>
    <row r="46" spans="1:17" ht="38.25" x14ac:dyDescent="0.2">
      <c r="A46" s="1">
        <v>0</v>
      </c>
      <c r="B46" s="1" t="s">
        <v>107</v>
      </c>
      <c r="C46" s="4" t="s">
        <v>108</v>
      </c>
      <c r="D46" s="1">
        <v>9</v>
      </c>
      <c r="E46" s="1" t="str">
        <f>DEC2HEX(_xlfn.BITOR(_xlfn.BITLSHIFT(A46,5),D46))</f>
        <v>9</v>
      </c>
      <c r="F46" s="6" t="s">
        <v>109</v>
      </c>
      <c r="G46" s="4" t="s">
        <v>110</v>
      </c>
      <c r="H46" s="1" t="s">
        <v>111</v>
      </c>
      <c r="I46" s="4" t="s">
        <v>29</v>
      </c>
      <c r="J46" s="1" t="s">
        <v>79</v>
      </c>
      <c r="K46" s="1" t="s">
        <v>50</v>
      </c>
      <c r="L46" s="1" t="s">
        <v>22</v>
      </c>
      <c r="M46" s="1" t="s">
        <v>22</v>
      </c>
      <c r="N46" s="1" t="s">
        <v>22</v>
      </c>
      <c r="O46" s="1" t="s">
        <v>30</v>
      </c>
      <c r="P46" t="str">
        <f>CONCATENATE("typedef ",O46," ",LOWER(F46), "_",  SUBSTITUTE(LOWER(H46), " ", "_"),"(", I46,");")</f>
        <v>typedef void ldo_enable_num_enable(LMS7002M_t *);</v>
      </c>
    </row>
    <row r="47" spans="1:17" s="8" customFormat="1" x14ac:dyDescent="0.2">
      <c r="A47" s="7" t="s">
        <v>24</v>
      </c>
      <c r="B47" s="7" t="s">
        <v>24</v>
      </c>
      <c r="C47" s="7"/>
      <c r="D47" s="7"/>
      <c r="J47" s="7" t="s">
        <v>24</v>
      </c>
      <c r="K47" s="7" t="s">
        <v>24</v>
      </c>
      <c r="L47" s="7" t="s">
        <v>24</v>
      </c>
      <c r="M47" s="7" t="s">
        <v>24</v>
      </c>
      <c r="N47" s="7" t="s">
        <v>24</v>
      </c>
      <c r="O47" s="7"/>
      <c r="P47" s="7"/>
      <c r="Q47"/>
    </row>
    <row r="48" spans="1:17" ht="76.5" x14ac:dyDescent="0.2">
      <c r="A48" s="1">
        <v>0</v>
      </c>
      <c r="B48" s="1" t="s">
        <v>112</v>
      </c>
      <c r="C48" s="4" t="s">
        <v>113</v>
      </c>
      <c r="D48" s="1">
        <v>10</v>
      </c>
      <c r="E48" s="1" t="str">
        <f>DEC2HEX(_xlfn.BITOR(_xlfn.BITLSHIFT(A48,5),D48))</f>
        <v>A</v>
      </c>
      <c r="F48" s="6" t="s">
        <v>114</v>
      </c>
      <c r="G48" s="4" t="s">
        <v>115</v>
      </c>
      <c r="H48" s="1" t="s">
        <v>111</v>
      </c>
      <c r="I48" s="4" t="s">
        <v>29</v>
      </c>
      <c r="J48" s="1" t="s">
        <v>73</v>
      </c>
      <c r="K48" s="1" t="s">
        <v>116</v>
      </c>
      <c r="L48" s="1" t="s">
        <v>79</v>
      </c>
      <c r="M48" s="1" t="s">
        <v>22</v>
      </c>
      <c r="N48" s="1" t="s">
        <v>22</v>
      </c>
      <c r="O48" s="1" t="s">
        <v>30</v>
      </c>
      <c r="P48" t="str">
        <f>CONCATENATE("typedef ",O48," ",LOWER(F48), "_",  SUBSTITUTE(LOWER(H48), " ", "_"),"(", I48,");")</f>
        <v>typedef void afe_enable_num_enable(LMS7002M_t *);</v>
      </c>
    </row>
    <row r="49" spans="1:17" s="8" customFormat="1" x14ac:dyDescent="0.2">
      <c r="A49" s="7" t="s">
        <v>24</v>
      </c>
      <c r="B49" s="7" t="s">
        <v>24</v>
      </c>
      <c r="C49" s="7"/>
      <c r="D49" s="7"/>
      <c r="J49" s="7" t="s">
        <v>24</v>
      </c>
      <c r="K49" s="7" t="s">
        <v>24</v>
      </c>
      <c r="L49" s="7" t="s">
        <v>24</v>
      </c>
      <c r="M49" s="7" t="s">
        <v>24</v>
      </c>
      <c r="N49" s="7" t="s">
        <v>24</v>
      </c>
      <c r="O49" s="7"/>
      <c r="P49" s="7"/>
      <c r="Q49"/>
    </row>
    <row r="50" spans="1:17" ht="127.5" x14ac:dyDescent="0.2">
      <c r="A50" s="1">
        <v>0</v>
      </c>
      <c r="B50" s="1" t="s">
        <v>117</v>
      </c>
      <c r="C50" s="4" t="s">
        <v>118</v>
      </c>
      <c r="D50" s="1">
        <v>11</v>
      </c>
      <c r="E50" s="1" t="str">
        <f>DEC2HEX(_xlfn.BITOR(_xlfn.BITLSHIFT(A50,5),D50))</f>
        <v>B</v>
      </c>
      <c r="F50" s="6" t="s">
        <v>119</v>
      </c>
      <c r="G50" s="4" t="s">
        <v>120</v>
      </c>
      <c r="H50" s="1" t="s">
        <v>121</v>
      </c>
      <c r="I50" s="4" t="s">
        <v>29</v>
      </c>
      <c r="J50" s="1" t="s">
        <v>122</v>
      </c>
      <c r="K50" s="1" t="s">
        <v>122</v>
      </c>
      <c r="L50" s="1" t="s">
        <v>123</v>
      </c>
      <c r="M50" s="1" t="s">
        <v>22</v>
      </c>
      <c r="N50" s="1" t="s">
        <v>22</v>
      </c>
      <c r="O50" s="1" t="s">
        <v>54</v>
      </c>
      <c r="P50" t="str">
        <f>CONCATENATE("typedef ",O50," ",LOWER(F50), "_",  SUBSTITUTE(LOWER(H50), " ", "_"),"(", I50,");")</f>
        <v>typedef int set_data_clock_num_sampling(LMS7002M_t *);</v>
      </c>
    </row>
    <row r="51" spans="1:17" s="8" customFormat="1" x14ac:dyDescent="0.2">
      <c r="A51" s="7" t="s">
        <v>24</v>
      </c>
      <c r="B51" s="7" t="s">
        <v>24</v>
      </c>
      <c r="C51" s="7"/>
      <c r="D51" s="7"/>
      <c r="J51" s="7" t="s">
        <v>24</v>
      </c>
      <c r="K51" s="7" t="s">
        <v>24</v>
      </c>
      <c r="L51" s="7" t="s">
        <v>24</v>
      </c>
      <c r="M51" s="7" t="s">
        <v>24</v>
      </c>
      <c r="N51" s="7" t="s">
        <v>24</v>
      </c>
      <c r="O51" s="7"/>
      <c r="P51" s="7"/>
      <c r="Q51"/>
    </row>
    <row r="52" spans="1:17" ht="127.5" x14ac:dyDescent="0.2">
      <c r="A52" s="1">
        <v>0</v>
      </c>
      <c r="B52" s="1" t="s">
        <v>124</v>
      </c>
      <c r="C52" s="4" t="s">
        <v>262</v>
      </c>
      <c r="D52" s="1">
        <v>12</v>
      </c>
      <c r="E52" s="1" t="str">
        <f>DEC2HEX(_xlfn.BITOR(_xlfn.BITLSHIFT(A52,5),D52))</f>
        <v>C</v>
      </c>
      <c r="F52" s="6" t="s">
        <v>125</v>
      </c>
      <c r="G52" s="4" t="s">
        <v>126</v>
      </c>
      <c r="H52" s="1" t="s">
        <v>127</v>
      </c>
      <c r="I52" s="4" t="s">
        <v>29</v>
      </c>
      <c r="J52" s="1" t="s">
        <v>73</v>
      </c>
      <c r="K52" s="1" t="s">
        <v>116</v>
      </c>
      <c r="L52" s="1" t="s">
        <v>122</v>
      </c>
      <c r="M52" s="1" t="s">
        <v>22</v>
      </c>
      <c r="N52" s="1" t="s">
        <v>22</v>
      </c>
      <c r="O52" s="1" t="s">
        <v>30</v>
      </c>
      <c r="P52" t="str">
        <f>CONCATENATE("typedef ",O52," ",LOWER(F52), "_",  SUBSTITUTE(LOWER(H52), " ", "_"),"(", I52,");")</f>
        <v>typedef void set_nco_freq_num_frequency_tunning(LMS7002M_t *);</v>
      </c>
    </row>
    <row r="53" spans="1:17" s="8" customFormat="1" x14ac:dyDescent="0.2">
      <c r="A53" s="7" t="s">
        <v>24</v>
      </c>
      <c r="B53" s="7" t="s">
        <v>24</v>
      </c>
      <c r="C53" s="7"/>
      <c r="D53" s="7"/>
      <c r="J53" s="7" t="s">
        <v>24</v>
      </c>
      <c r="K53" s="7" t="s">
        <v>24</v>
      </c>
      <c r="L53" s="7" t="s">
        <v>24</v>
      </c>
      <c r="M53" s="7" t="s">
        <v>24</v>
      </c>
      <c r="N53" s="7" t="s">
        <v>24</v>
      </c>
      <c r="O53" s="7"/>
      <c r="P53" s="7"/>
      <c r="Q53"/>
    </row>
    <row r="54" spans="1:17" ht="165.75" x14ac:dyDescent="0.2">
      <c r="A54" s="1">
        <v>0</v>
      </c>
      <c r="B54" s="1" t="s">
        <v>128</v>
      </c>
      <c r="C54" s="2" t="s">
        <v>129</v>
      </c>
      <c r="D54" s="1">
        <v>13</v>
      </c>
      <c r="E54" s="1" t="str">
        <f>DEC2HEX(_xlfn.BITOR(_xlfn.BITLSHIFT(A54,5),D54))</f>
        <v>D</v>
      </c>
      <c r="F54" s="6" t="s">
        <v>130</v>
      </c>
      <c r="G54" s="4" t="s">
        <v>131</v>
      </c>
      <c r="H54" s="1" t="s">
        <v>132</v>
      </c>
      <c r="I54" s="4" t="s">
        <v>29</v>
      </c>
      <c r="J54" s="1" t="s">
        <v>233</v>
      </c>
      <c r="K54" s="1" t="s">
        <v>96</v>
      </c>
      <c r="L54" s="1" t="s">
        <v>180</v>
      </c>
      <c r="M54" s="1" t="s">
        <v>234</v>
      </c>
      <c r="N54" s="1" t="s">
        <v>235</v>
      </c>
      <c r="O54" s="1" t="s">
        <v>54</v>
      </c>
      <c r="P54" t="str">
        <f>CONCATENATE("typedef ",O54," ",LOWER(F54), "_",  SUBSTITUTE(LOWER(H54), " ", "_"),"(", I54,");")</f>
        <v>typedef int set_gfir_taps_num_fir(LMS7002M_t *);</v>
      </c>
    </row>
    <row r="55" spans="1:17" s="8" customFormat="1" x14ac:dyDescent="0.2">
      <c r="A55" s="7" t="s">
        <v>24</v>
      </c>
      <c r="B55" s="7" t="s">
        <v>24</v>
      </c>
      <c r="C55" s="7"/>
      <c r="D55" s="7"/>
      <c r="J55" s="7" t="s">
        <v>24</v>
      </c>
      <c r="K55" s="7" t="s">
        <v>24</v>
      </c>
      <c r="L55" s="7" t="s">
        <v>24</v>
      </c>
      <c r="M55" s="7" t="s">
        <v>24</v>
      </c>
      <c r="N55" s="7" t="s">
        <v>24</v>
      </c>
      <c r="O55" s="7"/>
      <c r="P55" s="7"/>
      <c r="Q55"/>
    </row>
    <row r="56" spans="1:17" ht="127.5" x14ac:dyDescent="0.2">
      <c r="A56" s="1">
        <v>0</v>
      </c>
      <c r="B56" s="1" t="s">
        <v>133</v>
      </c>
      <c r="C56" s="4" t="s">
        <v>134</v>
      </c>
      <c r="D56" s="1">
        <v>14</v>
      </c>
      <c r="E56" s="1" t="str">
        <f>DEC2HEX(_xlfn.BITOR(_xlfn.BITLSHIFT(A56,5),D56))</f>
        <v>E</v>
      </c>
      <c r="F56" s="6" t="s">
        <v>135</v>
      </c>
      <c r="G56" s="4" t="s">
        <v>136</v>
      </c>
      <c r="H56" s="1" t="s">
        <v>127</v>
      </c>
      <c r="I56" s="4" t="s">
        <v>29</v>
      </c>
      <c r="J56" s="1" t="s">
        <v>73</v>
      </c>
      <c r="K56" s="1" t="s">
        <v>122</v>
      </c>
      <c r="L56" s="1" t="s">
        <v>122</v>
      </c>
      <c r="M56" s="1" t="s">
        <v>123</v>
      </c>
      <c r="N56" s="1" t="s">
        <v>22</v>
      </c>
      <c r="O56" s="1" t="s">
        <v>54</v>
      </c>
      <c r="P56" t="str">
        <f>CONCATENATE("typedef ",O56," ",LOWER(F56), "_",  SUBSTITUTE(LOWER(H56), " ", "_"),"(", I56,");")</f>
        <v>typedef int set_lo_freq_num_frequency_tunning(LMS7002M_t *);</v>
      </c>
    </row>
    <row r="57" spans="1:17" s="8" customFormat="1" x14ac:dyDescent="0.2">
      <c r="A57" s="7" t="s">
        <v>24</v>
      </c>
      <c r="B57" s="7" t="s">
        <v>24</v>
      </c>
      <c r="C57" s="7"/>
      <c r="D57" s="7"/>
      <c r="J57" s="7" t="s">
        <v>24</v>
      </c>
      <c r="K57" s="7" t="s">
        <v>24</v>
      </c>
      <c r="L57" s="7" t="s">
        <v>24</v>
      </c>
      <c r="M57" s="7" t="s">
        <v>24</v>
      </c>
      <c r="N57" s="7" t="s">
        <v>24</v>
      </c>
      <c r="O57" s="7"/>
      <c r="P57" s="7"/>
      <c r="Q57"/>
    </row>
    <row r="58" spans="1:17" ht="38.25" x14ac:dyDescent="0.2">
      <c r="A58" s="1">
        <v>0</v>
      </c>
      <c r="B58" s="1" t="s">
        <v>137</v>
      </c>
      <c r="C58" s="4" t="s">
        <v>138</v>
      </c>
      <c r="D58" s="1">
        <v>15</v>
      </c>
      <c r="E58" s="1" t="str">
        <f t="shared" ref="E58:E67" si="7">DEC2HEX(_xlfn.BITOR(_xlfn.BITLSHIFT(A58,5),D58))</f>
        <v>F</v>
      </c>
      <c r="F58" s="6" t="s">
        <v>139</v>
      </c>
      <c r="G58" s="4" t="s">
        <v>140</v>
      </c>
      <c r="H58" s="1" t="s">
        <v>111</v>
      </c>
      <c r="I58" s="4" t="s">
        <v>29</v>
      </c>
      <c r="J58" s="1" t="s">
        <v>73</v>
      </c>
      <c r="K58" s="1" t="s">
        <v>79</v>
      </c>
      <c r="L58" s="1" t="s">
        <v>22</v>
      </c>
      <c r="M58" s="1" t="s">
        <v>22</v>
      </c>
      <c r="N58" s="1" t="s">
        <v>22</v>
      </c>
      <c r="O58" s="1" t="s">
        <v>30</v>
      </c>
      <c r="P58" t="str">
        <f t="shared" ref="P58:P67" si="8">CONCATENATE("typedef ",O58," ",LOWER(F58), "_",  SUBSTITUTE(LOWER(H58), " ", "_"),"(", I58,");")</f>
        <v>typedef void two_param_lms_const_bool_num_enable(LMS7002M_t *);</v>
      </c>
    </row>
    <row r="59" spans="1:17" ht="89.25" x14ac:dyDescent="0.2">
      <c r="A59" s="1">
        <v>1</v>
      </c>
      <c r="B59" s="1" t="s">
        <v>141</v>
      </c>
      <c r="C59" s="4" t="s">
        <v>142</v>
      </c>
      <c r="D59" s="1">
        <v>15</v>
      </c>
      <c r="E59" s="1" t="str">
        <f t="shared" si="7"/>
        <v>2F</v>
      </c>
      <c r="F59" s="6" t="s">
        <v>139</v>
      </c>
      <c r="G59" s="4" t="s">
        <v>140</v>
      </c>
      <c r="H59" s="1" t="s">
        <v>111</v>
      </c>
      <c r="I59" s="4" t="s">
        <v>29</v>
      </c>
      <c r="J59" s="3" t="s">
        <v>96</v>
      </c>
      <c r="K59" s="1" t="s">
        <v>79</v>
      </c>
      <c r="L59" s="1" t="s">
        <v>22</v>
      </c>
      <c r="M59" s="1" t="s">
        <v>22</v>
      </c>
      <c r="N59" s="1" t="s">
        <v>22</v>
      </c>
      <c r="O59" s="1" t="s">
        <v>30</v>
      </c>
      <c r="P59" t="str">
        <f t="shared" si="8"/>
        <v>typedef void two_param_lms_const_bool_num_enable(LMS7002M_t *);</v>
      </c>
    </row>
    <row r="60" spans="1:17" ht="38.25" x14ac:dyDescent="0.2">
      <c r="A60" s="1">
        <v>2</v>
      </c>
      <c r="B60" s="1" t="s">
        <v>143</v>
      </c>
      <c r="C60" s="4" t="s">
        <v>144</v>
      </c>
      <c r="D60" s="1">
        <v>15</v>
      </c>
      <c r="E60" s="1" t="str">
        <f t="shared" si="7"/>
        <v>4F</v>
      </c>
      <c r="F60" s="6" t="s">
        <v>139</v>
      </c>
      <c r="G60" s="4" t="s">
        <v>140</v>
      </c>
      <c r="H60" s="1" t="s">
        <v>111</v>
      </c>
      <c r="I60" s="4" t="s">
        <v>29</v>
      </c>
      <c r="J60" s="3" t="s">
        <v>96</v>
      </c>
      <c r="K60" s="1" t="s">
        <v>79</v>
      </c>
      <c r="L60" s="1" t="s">
        <v>22</v>
      </c>
      <c r="M60" s="1" t="s">
        <v>22</v>
      </c>
      <c r="N60" s="1" t="s">
        <v>22</v>
      </c>
      <c r="O60" s="1" t="s">
        <v>30</v>
      </c>
      <c r="P60" t="str">
        <f t="shared" si="8"/>
        <v>typedef void two_param_lms_const_bool_num_enable(LMS7002M_t *);</v>
      </c>
    </row>
    <row r="61" spans="1:17" ht="38.25" x14ac:dyDescent="0.2">
      <c r="A61" s="1">
        <v>3</v>
      </c>
      <c r="B61" s="1" t="s">
        <v>145</v>
      </c>
      <c r="C61" s="10" t="s">
        <v>146</v>
      </c>
      <c r="D61" s="1">
        <v>15</v>
      </c>
      <c r="E61" s="1" t="str">
        <f t="shared" si="7"/>
        <v>6F</v>
      </c>
      <c r="F61" s="6" t="s">
        <v>139</v>
      </c>
      <c r="G61" s="4" t="s">
        <v>140</v>
      </c>
      <c r="H61" s="1" t="s">
        <v>111</v>
      </c>
      <c r="I61" s="4" t="s">
        <v>29</v>
      </c>
      <c r="J61" s="3" t="s">
        <v>96</v>
      </c>
      <c r="K61" s="1" t="s">
        <v>79</v>
      </c>
      <c r="L61" s="1" t="s">
        <v>22</v>
      </c>
      <c r="M61" s="1" t="s">
        <v>22</v>
      </c>
      <c r="N61" s="1" t="s">
        <v>22</v>
      </c>
      <c r="O61" s="1" t="s">
        <v>30</v>
      </c>
      <c r="P61" t="str">
        <f t="shared" si="8"/>
        <v>typedef void two_param_lms_const_bool_num_enable(LMS7002M_t *);</v>
      </c>
    </row>
    <row r="62" spans="1:17" ht="38.25" x14ac:dyDescent="0.2">
      <c r="A62" s="1">
        <v>4</v>
      </c>
      <c r="B62" s="1" t="s">
        <v>147</v>
      </c>
      <c r="C62" s="1" t="s">
        <v>148</v>
      </c>
      <c r="D62" s="1">
        <v>15</v>
      </c>
      <c r="E62" s="1" t="str">
        <f t="shared" si="7"/>
        <v>8F</v>
      </c>
      <c r="F62" s="6" t="s">
        <v>139</v>
      </c>
      <c r="G62" s="4" t="s">
        <v>140</v>
      </c>
      <c r="H62" s="1" t="s">
        <v>111</v>
      </c>
      <c r="I62" s="4" t="s">
        <v>29</v>
      </c>
      <c r="J62" s="3" t="s">
        <v>96</v>
      </c>
      <c r="K62" s="1" t="s">
        <v>79</v>
      </c>
      <c r="L62" s="1" t="s">
        <v>22</v>
      </c>
      <c r="M62" s="1" t="s">
        <v>22</v>
      </c>
      <c r="N62" s="1" t="s">
        <v>22</v>
      </c>
      <c r="O62" s="1" t="s">
        <v>30</v>
      </c>
      <c r="P62" t="str">
        <f t="shared" si="8"/>
        <v>typedef void two_param_lms_const_bool_num_enable(LMS7002M_t *);</v>
      </c>
    </row>
    <row r="63" spans="1:17" ht="63.75" x14ac:dyDescent="0.2">
      <c r="A63" s="1">
        <v>5</v>
      </c>
      <c r="B63" s="1" t="s">
        <v>149</v>
      </c>
      <c r="C63" s="2" t="s">
        <v>150</v>
      </c>
      <c r="D63" s="1">
        <v>15</v>
      </c>
      <c r="E63" s="1" t="str">
        <f t="shared" si="7"/>
        <v>AF</v>
      </c>
      <c r="F63" s="6" t="s">
        <v>139</v>
      </c>
      <c r="G63" s="4" t="s">
        <v>140</v>
      </c>
      <c r="H63" s="1" t="s">
        <v>111</v>
      </c>
      <c r="I63" s="4" t="s">
        <v>29</v>
      </c>
      <c r="J63" s="3" t="s">
        <v>96</v>
      </c>
      <c r="K63" s="1" t="s">
        <v>79</v>
      </c>
      <c r="L63" s="1" t="s">
        <v>22</v>
      </c>
      <c r="M63" s="1" t="s">
        <v>22</v>
      </c>
      <c r="N63" s="1" t="s">
        <v>22</v>
      </c>
      <c r="O63" s="1" t="s">
        <v>30</v>
      </c>
      <c r="P63" t="str">
        <f t="shared" si="8"/>
        <v>typedef void two_param_lms_const_bool_num_enable(LMS7002M_t *);</v>
      </c>
    </row>
    <row r="64" spans="1:17" ht="38.25" x14ac:dyDescent="0.2">
      <c r="A64" s="1">
        <v>6</v>
      </c>
      <c r="B64" s="1" t="s">
        <v>151</v>
      </c>
      <c r="C64" s="4" t="s">
        <v>152</v>
      </c>
      <c r="D64" s="1">
        <v>15</v>
      </c>
      <c r="E64" s="1" t="str">
        <f t="shared" si="7"/>
        <v>CF</v>
      </c>
      <c r="F64" s="6" t="s">
        <v>139</v>
      </c>
      <c r="G64" s="4" t="s">
        <v>140</v>
      </c>
      <c r="H64" s="1" t="s">
        <v>111</v>
      </c>
      <c r="I64" s="4" t="s">
        <v>29</v>
      </c>
      <c r="J64" s="3" t="s">
        <v>96</v>
      </c>
      <c r="K64" s="1" t="s">
        <v>79</v>
      </c>
      <c r="L64" s="1" t="s">
        <v>22</v>
      </c>
      <c r="M64" s="1" t="s">
        <v>22</v>
      </c>
      <c r="N64" s="1" t="s">
        <v>22</v>
      </c>
      <c r="O64" s="1" t="s">
        <v>30</v>
      </c>
      <c r="P64" t="str">
        <f t="shared" si="8"/>
        <v>typedef void two_param_lms_const_bool_num_enable(LMS7002M_t *);</v>
      </c>
    </row>
    <row r="65" spans="1:17" ht="127.5" x14ac:dyDescent="0.2">
      <c r="A65" s="1">
        <v>7</v>
      </c>
      <c r="B65" s="1" t="s">
        <v>153</v>
      </c>
      <c r="C65" s="4" t="s">
        <v>230</v>
      </c>
      <c r="D65" s="1">
        <v>15</v>
      </c>
      <c r="E65" s="1" t="str">
        <f t="shared" si="7"/>
        <v>EF</v>
      </c>
      <c r="F65" s="6" t="s">
        <v>139</v>
      </c>
      <c r="G65" s="4" t="s">
        <v>140</v>
      </c>
      <c r="H65" s="1" t="s">
        <v>154</v>
      </c>
      <c r="I65" s="4" t="s">
        <v>29</v>
      </c>
      <c r="J65" s="3" t="s">
        <v>96</v>
      </c>
      <c r="K65" s="1" t="s">
        <v>79</v>
      </c>
      <c r="L65" s="1" t="s">
        <v>22</v>
      </c>
      <c r="M65" s="1" t="s">
        <v>22</v>
      </c>
      <c r="N65" s="1" t="s">
        <v>22</v>
      </c>
      <c r="O65" s="1" t="s">
        <v>30</v>
      </c>
      <c r="P65" t="str">
        <f t="shared" si="8"/>
        <v>typedef void two_param_lms_const_bool_num_test(LMS7002M_t *);</v>
      </c>
    </row>
    <row r="66" spans="1:17" ht="38.25" x14ac:dyDescent="0.2">
      <c r="A66" s="1">
        <v>8</v>
      </c>
      <c r="B66" s="1" t="s">
        <v>155</v>
      </c>
      <c r="C66" s="4" t="s">
        <v>156</v>
      </c>
      <c r="D66" s="1">
        <v>15</v>
      </c>
      <c r="E66" s="1" t="str">
        <f t="shared" si="7"/>
        <v>10F</v>
      </c>
      <c r="F66" s="6" t="s">
        <v>139</v>
      </c>
      <c r="G66" s="4" t="s">
        <v>140</v>
      </c>
      <c r="H66" s="1" t="s">
        <v>111</v>
      </c>
      <c r="I66" s="4" t="s">
        <v>29</v>
      </c>
      <c r="J66" s="3" t="s">
        <v>96</v>
      </c>
      <c r="K66" s="1" t="s">
        <v>79</v>
      </c>
      <c r="L66" s="1" t="s">
        <v>22</v>
      </c>
      <c r="M66" s="1" t="s">
        <v>22</v>
      </c>
      <c r="N66" s="1" t="s">
        <v>22</v>
      </c>
      <c r="O66" s="1" t="s">
        <v>30</v>
      </c>
      <c r="P66" t="str">
        <f t="shared" si="8"/>
        <v>typedef void two_param_lms_const_bool_num_enable(LMS7002M_t *);</v>
      </c>
    </row>
    <row r="67" spans="1:17" ht="38.25" x14ac:dyDescent="0.2">
      <c r="A67" s="1">
        <v>9</v>
      </c>
      <c r="B67" s="1" t="s">
        <v>258</v>
      </c>
      <c r="C67" s="4" t="s">
        <v>245</v>
      </c>
      <c r="D67" s="1">
        <v>15</v>
      </c>
      <c r="E67" s="1" t="str">
        <f t="shared" si="7"/>
        <v>12F</v>
      </c>
      <c r="F67" s="6" t="s">
        <v>139</v>
      </c>
      <c r="G67" s="4" t="s">
        <v>140</v>
      </c>
      <c r="H67" s="1" t="s">
        <v>261</v>
      </c>
      <c r="I67" s="4" t="s">
        <v>29</v>
      </c>
      <c r="J67" s="3" t="s">
        <v>96</v>
      </c>
      <c r="K67" s="1" t="s">
        <v>79</v>
      </c>
      <c r="L67" s="1" t="s">
        <v>22</v>
      </c>
      <c r="M67" s="1" t="s">
        <v>22</v>
      </c>
      <c r="N67" s="1" t="s">
        <v>22</v>
      </c>
      <c r="O67" s="1" t="s">
        <v>30</v>
      </c>
      <c r="P67" t="str">
        <f t="shared" si="8"/>
        <v>typedef void two_param_lms_const_bool_num_rfic_enable(LMS7002M_t *);</v>
      </c>
    </row>
    <row r="68" spans="1:17" s="8" customFormat="1" x14ac:dyDescent="0.2">
      <c r="A68" s="7" t="s">
        <v>24</v>
      </c>
      <c r="B68" s="7" t="s">
        <v>24</v>
      </c>
      <c r="C68" s="7"/>
      <c r="D68" s="7"/>
      <c r="J68" s="7" t="s">
        <v>24</v>
      </c>
      <c r="K68" s="7" t="s">
        <v>24</v>
      </c>
      <c r="L68" s="7" t="s">
        <v>24</v>
      </c>
      <c r="M68" s="7" t="s">
        <v>24</v>
      </c>
      <c r="N68" s="7" t="s">
        <v>24</v>
      </c>
      <c r="O68" s="7"/>
      <c r="P68" s="7"/>
      <c r="Q68"/>
    </row>
    <row r="69" spans="1:17" ht="38.25" x14ac:dyDescent="0.2">
      <c r="A69" s="1">
        <v>0</v>
      </c>
      <c r="B69" s="1" t="s">
        <v>157</v>
      </c>
      <c r="C69" s="4" t="s">
        <v>158</v>
      </c>
      <c r="D69" s="1">
        <v>16</v>
      </c>
      <c r="E69" s="1" t="str">
        <f>DEC2HEX(_xlfn.BITOR(_xlfn.BITLSHIFT(A69,5),D69))</f>
        <v>10</v>
      </c>
      <c r="F69" s="6" t="s">
        <v>159</v>
      </c>
      <c r="G69" s="6" t="s">
        <v>160</v>
      </c>
      <c r="H69" s="1" t="s">
        <v>121</v>
      </c>
      <c r="I69" s="4" t="s">
        <v>29</v>
      </c>
      <c r="J69" s="3" t="s">
        <v>96</v>
      </c>
      <c r="K69" s="1" t="s">
        <v>161</v>
      </c>
      <c r="L69" s="1" t="s">
        <v>22</v>
      </c>
      <c r="M69" s="1" t="s">
        <v>22</v>
      </c>
      <c r="N69" s="1" t="s">
        <v>22</v>
      </c>
      <c r="O69" s="1" t="s">
        <v>30</v>
      </c>
      <c r="P69" t="str">
        <f>CONCATENATE("typedef ",O69," ",LOWER(F69), "_",  SUBSTITUTE(LOWER(H69), " ", "_"),"(", I69,");")</f>
        <v>typedef void two_param_chant_sizet_num_sampling(LMS7002M_t *);</v>
      </c>
    </row>
    <row r="70" spans="1:17" ht="38.25" x14ac:dyDescent="0.2">
      <c r="A70" s="1">
        <v>1</v>
      </c>
      <c r="B70" s="1" t="s">
        <v>162</v>
      </c>
      <c r="C70" s="4" t="s">
        <v>163</v>
      </c>
      <c r="D70" s="1">
        <v>16</v>
      </c>
      <c r="E70" s="1" t="str">
        <f>DEC2HEX(_xlfn.BITOR(_xlfn.BITLSHIFT(A70,5),D70))</f>
        <v>30</v>
      </c>
      <c r="F70" s="6" t="s">
        <v>159</v>
      </c>
      <c r="G70" s="6" t="s">
        <v>160</v>
      </c>
      <c r="H70" s="1" t="s">
        <v>121</v>
      </c>
      <c r="I70" s="4" t="s">
        <v>29</v>
      </c>
      <c r="J70" s="3" t="s">
        <v>96</v>
      </c>
      <c r="K70" s="1" t="s">
        <v>161</v>
      </c>
      <c r="L70" s="1" t="s">
        <v>22</v>
      </c>
      <c r="M70" s="1" t="s">
        <v>22</v>
      </c>
      <c r="N70" s="1" t="s">
        <v>22</v>
      </c>
      <c r="O70" s="1" t="s">
        <v>30</v>
      </c>
      <c r="P70" t="str">
        <f>CONCATENATE("typedef ",O70," ",LOWER(F70), "_",  SUBSTITUTE(LOWER(H70), " ", "_"),"(", I70,");")</f>
        <v>typedef void two_param_chant_sizet_num_sampling(LMS7002M_t *);</v>
      </c>
    </row>
    <row r="71" spans="1:17" s="8" customFormat="1" x14ac:dyDescent="0.2">
      <c r="A71" s="7" t="s">
        <v>24</v>
      </c>
      <c r="B71" s="7" t="s">
        <v>24</v>
      </c>
      <c r="C71" s="7"/>
      <c r="D71" s="7"/>
      <c r="J71" s="7" t="s">
        <v>24</v>
      </c>
      <c r="K71" s="7" t="s">
        <v>24</v>
      </c>
      <c r="L71" s="7" t="s">
        <v>24</v>
      </c>
      <c r="M71" s="7" t="s">
        <v>24</v>
      </c>
      <c r="N71" s="7" t="s">
        <v>24</v>
      </c>
      <c r="O71" s="7"/>
      <c r="P71" s="7"/>
      <c r="Q71"/>
    </row>
    <row r="72" spans="1:17" ht="63.75" x14ac:dyDescent="0.2">
      <c r="A72" s="1">
        <v>0</v>
      </c>
      <c r="B72" s="1" t="s">
        <v>164</v>
      </c>
      <c r="C72" s="4" t="s">
        <v>165</v>
      </c>
      <c r="D72" s="1">
        <v>17</v>
      </c>
      <c r="E72" s="1" t="str">
        <f>DEC2HEX(_xlfn.BITOR(_xlfn.BITLSHIFT(A72,5),D72))</f>
        <v>11</v>
      </c>
      <c r="F72" s="6" t="s">
        <v>166</v>
      </c>
      <c r="G72" s="4" t="s">
        <v>167</v>
      </c>
      <c r="H72" s="1" t="s">
        <v>106</v>
      </c>
      <c r="I72" s="4" t="s">
        <v>29</v>
      </c>
      <c r="J72" s="3" t="s">
        <v>96</v>
      </c>
      <c r="K72" s="1" t="s">
        <v>50</v>
      </c>
      <c r="L72" s="1" t="s">
        <v>50</v>
      </c>
      <c r="M72" s="1" t="s">
        <v>22</v>
      </c>
      <c r="N72" s="1" t="s">
        <v>22</v>
      </c>
      <c r="O72" s="1" t="s">
        <v>30</v>
      </c>
      <c r="P72" t="str">
        <f>CONCATENATE("typedef ",O72," ",LOWER(F72), "_",  SUBSTITUTE(LOWER(H72), " ", "_"),"(", I72,");")</f>
        <v>typedef void sp_tsg_num_iq(LMS7002M_t *);</v>
      </c>
    </row>
    <row r="73" spans="1:17" ht="63.75" x14ac:dyDescent="0.2">
      <c r="A73" s="1">
        <v>1</v>
      </c>
      <c r="B73" s="1" t="s">
        <v>168</v>
      </c>
      <c r="C73" s="4" t="s">
        <v>169</v>
      </c>
      <c r="D73" s="1">
        <v>17</v>
      </c>
      <c r="E73" s="1" t="str">
        <f>DEC2HEX(_xlfn.BITOR(_xlfn.BITLSHIFT(A73,5),D73))</f>
        <v>31</v>
      </c>
      <c r="F73" s="6" t="s">
        <v>166</v>
      </c>
      <c r="G73" s="4" t="s">
        <v>167</v>
      </c>
      <c r="H73" s="1" t="s">
        <v>106</v>
      </c>
      <c r="I73" s="4" t="s">
        <v>29</v>
      </c>
      <c r="J73" s="3" t="s">
        <v>96</v>
      </c>
      <c r="K73" s="1" t="s">
        <v>50</v>
      </c>
      <c r="L73" s="1" t="s">
        <v>50</v>
      </c>
      <c r="M73" s="1" t="s">
        <v>22</v>
      </c>
      <c r="N73" s="1" t="s">
        <v>22</v>
      </c>
      <c r="O73" s="1" t="s">
        <v>30</v>
      </c>
      <c r="P73" t="str">
        <f>CONCATENATE("typedef ",O73," ",LOWER(F73), "_",  SUBSTITUTE(LOWER(H73), " ", "_"),"(", I73,");")</f>
        <v>typedef void sp_tsg_num_iq(LMS7002M_t *);</v>
      </c>
    </row>
    <row r="74" spans="1:17" s="8" customFormat="1" x14ac:dyDescent="0.2">
      <c r="A74" s="7" t="s">
        <v>24</v>
      </c>
      <c r="B74" s="7" t="s">
        <v>24</v>
      </c>
      <c r="C74" s="7"/>
      <c r="D74" s="7"/>
      <c r="J74" s="7" t="s">
        <v>24</v>
      </c>
      <c r="K74" s="7" t="s">
        <v>24</v>
      </c>
      <c r="L74" s="7" t="s">
        <v>24</v>
      </c>
      <c r="M74" s="7" t="s">
        <v>24</v>
      </c>
      <c r="N74" s="7" t="s">
        <v>24</v>
      </c>
      <c r="O74" s="7"/>
      <c r="P74" s="7"/>
      <c r="Q74"/>
    </row>
    <row r="75" spans="1:17" ht="63.75" x14ac:dyDescent="0.2">
      <c r="A75" s="1">
        <v>0</v>
      </c>
      <c r="B75" s="1" t="s">
        <v>170</v>
      </c>
      <c r="C75" s="4" t="s">
        <v>240</v>
      </c>
      <c r="D75" s="1">
        <v>18</v>
      </c>
      <c r="E75" s="1" t="str">
        <f>DEC2HEX(_xlfn.BITOR(_xlfn.BITLSHIFT(A75,5),D75))</f>
        <v>12</v>
      </c>
      <c r="F75" s="6" t="s">
        <v>171</v>
      </c>
      <c r="G75" s="4" t="s">
        <v>172</v>
      </c>
      <c r="H75" s="1" t="s">
        <v>173</v>
      </c>
      <c r="I75" s="4" t="s">
        <v>29</v>
      </c>
      <c r="J75" s="3" t="s">
        <v>96</v>
      </c>
      <c r="K75" s="3" t="s">
        <v>174</v>
      </c>
      <c r="L75" s="3" t="s">
        <v>174</v>
      </c>
      <c r="M75" s="1" t="s">
        <v>22</v>
      </c>
      <c r="N75" s="1" t="s">
        <v>22</v>
      </c>
      <c r="O75" s="1" t="s">
        <v>30</v>
      </c>
      <c r="P75" t="str">
        <f>CONCATENATE("typedef ",O75," ",LOWER(F75), "_",  SUBSTITUTE(LOWER(H75), " ", "_"),"(", I75,");")</f>
        <v>typedef void txstp_correction_num_calibrate(LMS7002M_t *);</v>
      </c>
    </row>
    <row r="76" spans="1:17" ht="191.25" x14ac:dyDescent="0.2">
      <c r="A76" s="1">
        <v>1</v>
      </c>
      <c r="B76" s="1" t="s">
        <v>175</v>
      </c>
      <c r="C76" s="4" t="s">
        <v>242</v>
      </c>
      <c r="D76" s="1">
        <v>18</v>
      </c>
      <c r="E76" s="1" t="str">
        <f>DEC2HEX(_xlfn.BITOR(_xlfn.BITLSHIFT(A76,5),D76))</f>
        <v>32</v>
      </c>
      <c r="F76" s="6" t="s">
        <v>171</v>
      </c>
      <c r="G76" s="4" t="s">
        <v>172</v>
      </c>
      <c r="H76" s="1" t="s">
        <v>173</v>
      </c>
      <c r="I76" s="4" t="s">
        <v>29</v>
      </c>
      <c r="J76" s="3" t="s">
        <v>96</v>
      </c>
      <c r="K76" s="3" t="s">
        <v>174</v>
      </c>
      <c r="L76" s="3" t="s">
        <v>174</v>
      </c>
      <c r="M76" s="1" t="s">
        <v>22</v>
      </c>
      <c r="N76" s="1" t="s">
        <v>22</v>
      </c>
      <c r="O76" s="1" t="s">
        <v>30</v>
      </c>
      <c r="P76" t="str">
        <f>CONCATENATE("typedef ",O76," ",LOWER(F76), "_",  SUBSTITUTE(LOWER(H76), " ", "_"),"(", I76,");")</f>
        <v>typedef void txstp_correction_num_calibrate(LMS7002M_t *);</v>
      </c>
    </row>
    <row r="77" spans="1:17" ht="191.25" x14ac:dyDescent="0.2">
      <c r="A77" s="1">
        <v>2</v>
      </c>
      <c r="B77" s="1" t="s">
        <v>181</v>
      </c>
      <c r="C77" s="4" t="s">
        <v>243</v>
      </c>
      <c r="D77" s="1">
        <v>18</v>
      </c>
      <c r="E77" s="1" t="str">
        <f>DEC2HEX(_xlfn.BITOR(_xlfn.BITLSHIFT(A77,5),D77))</f>
        <v>52</v>
      </c>
      <c r="F77" s="6" t="s">
        <v>171</v>
      </c>
      <c r="G77" s="4" t="s">
        <v>178</v>
      </c>
      <c r="H77" s="1" t="s">
        <v>173</v>
      </c>
      <c r="I77" s="4" t="s">
        <v>29</v>
      </c>
      <c r="J77" s="3" t="s">
        <v>96</v>
      </c>
      <c r="K77" s="3" t="s">
        <v>174</v>
      </c>
      <c r="L77" s="3" t="s">
        <v>174</v>
      </c>
      <c r="M77" s="1" t="s">
        <v>22</v>
      </c>
      <c r="N77" s="1" t="s">
        <v>22</v>
      </c>
      <c r="O77" s="1" t="s">
        <v>30</v>
      </c>
      <c r="P77" t="str">
        <f>CONCATENATE("typedef ",O77," ",LOWER(F77), "_",  SUBSTITUTE(LOWER(H77), " ", "_"),"(", I77,");")</f>
        <v>typedef void txstp_correction_num_calibrate(LMS7002M_t *);</v>
      </c>
    </row>
    <row r="78" spans="1:17" s="8" customFormat="1" x14ac:dyDescent="0.2">
      <c r="A78" s="7" t="s">
        <v>24</v>
      </c>
      <c r="B78" s="7" t="s">
        <v>24</v>
      </c>
      <c r="C78" s="7"/>
      <c r="D78" s="7"/>
      <c r="J78" s="7" t="s">
        <v>24</v>
      </c>
      <c r="K78" s="7" t="s">
        <v>24</v>
      </c>
      <c r="L78" s="7" t="s">
        <v>24</v>
      </c>
      <c r="M78" s="7" t="s">
        <v>24</v>
      </c>
      <c r="N78" s="7" t="s">
        <v>24</v>
      </c>
      <c r="O78" s="7"/>
      <c r="P78" s="7"/>
      <c r="Q78"/>
    </row>
    <row r="79" spans="1:17" ht="63.75" x14ac:dyDescent="0.2">
      <c r="A79" s="1">
        <v>0</v>
      </c>
      <c r="B79" s="1" t="s">
        <v>176</v>
      </c>
      <c r="C79" s="4" t="s">
        <v>241</v>
      </c>
      <c r="D79" s="1">
        <v>19</v>
      </c>
      <c r="E79" s="1" t="str">
        <f>DEC2HEX(_xlfn.BITOR(_xlfn.BITLSHIFT(A79,5),D79))</f>
        <v>13</v>
      </c>
      <c r="F79" s="6" t="s">
        <v>177</v>
      </c>
      <c r="G79" s="4" t="s">
        <v>178</v>
      </c>
      <c r="H79" s="1" t="s">
        <v>173</v>
      </c>
      <c r="I79" s="4" t="s">
        <v>29</v>
      </c>
      <c r="J79" s="3" t="s">
        <v>96</v>
      </c>
      <c r="K79" s="2" t="s">
        <v>179</v>
      </c>
      <c r="L79" s="2" t="s">
        <v>180</v>
      </c>
      <c r="M79" s="1" t="s">
        <v>22</v>
      </c>
      <c r="N79" s="1" t="s">
        <v>22</v>
      </c>
      <c r="O79" s="1" t="s">
        <v>30</v>
      </c>
      <c r="P79" t="str">
        <f>CONCATENATE("typedef ",O79," ",LOWER(F79), "_",  SUBSTITUTE(LOWER(H79), " ", "_"),"(", I79,");")</f>
        <v>typedef void rxtsp_num_calibrate(LMS7002M_t *);</v>
      </c>
    </row>
    <row r="80" spans="1:17" s="8" customFormat="1" x14ac:dyDescent="0.2">
      <c r="A80" s="7" t="s">
        <v>24</v>
      </c>
      <c r="B80" s="7" t="s">
        <v>24</v>
      </c>
      <c r="C80" s="7"/>
      <c r="D80" s="7"/>
      <c r="J80" s="7" t="s">
        <v>24</v>
      </c>
      <c r="K80" s="7" t="s">
        <v>24</v>
      </c>
      <c r="L80" s="7" t="s">
        <v>24</v>
      </c>
      <c r="M80" s="7" t="s">
        <v>24</v>
      </c>
      <c r="N80" s="7" t="s">
        <v>24</v>
      </c>
      <c r="O80" s="7"/>
      <c r="P80" s="7"/>
      <c r="Q80"/>
    </row>
    <row r="81" spans="1:17" ht="140.25" x14ac:dyDescent="0.2">
      <c r="A81" s="1">
        <v>0</v>
      </c>
      <c r="B81" s="1" t="s">
        <v>182</v>
      </c>
      <c r="C81" s="4" t="s">
        <v>231</v>
      </c>
      <c r="D81" s="1">
        <v>20</v>
      </c>
      <c r="E81" s="1" t="str">
        <f>DEC2HEX(_xlfn.BITOR(_xlfn.BITLSHIFT(A81,5),D81))</f>
        <v>14</v>
      </c>
      <c r="F81" s="6" t="s">
        <v>183</v>
      </c>
      <c r="G81" s="4" t="s">
        <v>184</v>
      </c>
      <c r="H81" s="1" t="s">
        <v>185</v>
      </c>
      <c r="I81" s="4" t="s">
        <v>29</v>
      </c>
      <c r="J81" s="3" t="s">
        <v>96</v>
      </c>
      <c r="K81" s="1" t="s">
        <v>180</v>
      </c>
      <c r="L81" s="1" t="s">
        <v>22</v>
      </c>
      <c r="M81" s="1" t="s">
        <v>22</v>
      </c>
      <c r="N81" s="1" t="s">
        <v>22</v>
      </c>
      <c r="O81" s="1" t="s">
        <v>30</v>
      </c>
      <c r="P81" t="str">
        <f>CONCATENATE("typedef ",O81," ",LOWER(F81), "_",  SUBSTITUTE(LOWER(H81), " ", "_"),"(", I81,");")</f>
        <v>typedef void set_path_and_band_num_band(LMS7002M_t *);</v>
      </c>
    </row>
    <row r="82" spans="1:17" ht="165.75" x14ac:dyDescent="0.2">
      <c r="A82" s="1">
        <v>1</v>
      </c>
      <c r="B82" s="1" t="s">
        <v>186</v>
      </c>
      <c r="C82" s="4" t="s">
        <v>229</v>
      </c>
      <c r="D82" s="1">
        <v>20</v>
      </c>
      <c r="E82" s="1" t="str">
        <f>DEC2HEX(_xlfn.BITOR(_xlfn.BITLSHIFT(A82,5),D82))</f>
        <v>34</v>
      </c>
      <c r="F82" s="6" t="s">
        <v>183</v>
      </c>
      <c r="G82" s="4" t="s">
        <v>184</v>
      </c>
      <c r="H82" s="1" t="s">
        <v>154</v>
      </c>
      <c r="I82" s="4" t="s">
        <v>29</v>
      </c>
      <c r="J82" s="3" t="s">
        <v>96</v>
      </c>
      <c r="K82" s="1" t="s">
        <v>180</v>
      </c>
      <c r="L82" s="1" t="s">
        <v>22</v>
      </c>
      <c r="M82" s="1" t="s">
        <v>22</v>
      </c>
      <c r="N82" s="1" t="s">
        <v>22</v>
      </c>
      <c r="O82" s="1" t="s">
        <v>30</v>
      </c>
      <c r="P82" t="str">
        <f>CONCATENATE("typedef ",O82," ",LOWER(F82), "_",  SUBSTITUTE(LOWER(H82), " ", "_"),"(", I82,");")</f>
        <v>typedef void set_path_and_band_num_test(LMS7002M_t *);</v>
      </c>
    </row>
    <row r="83" spans="1:17" ht="38.25" x14ac:dyDescent="0.2">
      <c r="A83" s="1">
        <v>2</v>
      </c>
      <c r="B83" s="1" t="s">
        <v>187</v>
      </c>
      <c r="C83" s="4" t="s">
        <v>188</v>
      </c>
      <c r="D83" s="1">
        <v>20</v>
      </c>
      <c r="E83" s="1" t="str">
        <f>DEC2HEX(_xlfn.BITOR(_xlfn.BITLSHIFT(A83,5),D83))</f>
        <v>54</v>
      </c>
      <c r="F83" s="6" t="s">
        <v>183</v>
      </c>
      <c r="G83" s="4" t="s">
        <v>184</v>
      </c>
      <c r="H83" s="1" t="s">
        <v>185</v>
      </c>
      <c r="I83" s="4" t="s">
        <v>29</v>
      </c>
      <c r="J83" s="3" t="s">
        <v>96</v>
      </c>
      <c r="K83" s="1" t="s">
        <v>180</v>
      </c>
      <c r="L83" s="1" t="s">
        <v>22</v>
      </c>
      <c r="M83" s="1" t="s">
        <v>22</v>
      </c>
      <c r="N83" s="1" t="s">
        <v>22</v>
      </c>
      <c r="O83" s="1" t="s">
        <v>30</v>
      </c>
      <c r="P83" t="str">
        <f>CONCATENATE("typedef ",O83," ",LOWER(F83), "_",  SUBSTITUTE(LOWER(H83), " ", "_"),"(", I83,");")</f>
        <v>typedef void set_path_and_band_num_band(LMS7002M_t *);</v>
      </c>
    </row>
    <row r="84" spans="1:17" ht="178.5" x14ac:dyDescent="0.2">
      <c r="A84" s="1">
        <v>3</v>
      </c>
      <c r="B84" s="1" t="s">
        <v>189</v>
      </c>
      <c r="C84" s="4" t="s">
        <v>232</v>
      </c>
      <c r="D84" s="1">
        <v>20</v>
      </c>
      <c r="E84" s="1" t="str">
        <f>DEC2HEX(_xlfn.BITOR(_xlfn.BITLSHIFT(A84,5),D84))</f>
        <v>74</v>
      </c>
      <c r="F84" s="6" t="s">
        <v>183</v>
      </c>
      <c r="G84" s="4" t="s">
        <v>184</v>
      </c>
      <c r="H84" s="1" t="s">
        <v>185</v>
      </c>
      <c r="I84" s="4" t="s">
        <v>29</v>
      </c>
      <c r="J84" s="3" t="s">
        <v>96</v>
      </c>
      <c r="K84" s="1" t="s">
        <v>180</v>
      </c>
      <c r="L84" s="1" t="s">
        <v>22</v>
      </c>
      <c r="M84" s="1" t="s">
        <v>22</v>
      </c>
      <c r="N84" s="1" t="s">
        <v>22</v>
      </c>
      <c r="O84" s="1" t="s">
        <v>30</v>
      </c>
      <c r="P84" t="str">
        <f>CONCATENATE("typedef ",O84," ",LOWER(F84), "_",  SUBSTITUTE(LOWER(H84), " ", "_"),"(", I84,");")</f>
        <v>typedef void set_path_and_band_num_band(LMS7002M_t *);</v>
      </c>
    </row>
    <row r="85" spans="1:17" ht="114.75" x14ac:dyDescent="0.2">
      <c r="A85" s="1">
        <v>4</v>
      </c>
      <c r="B85" s="1" t="s">
        <v>190</v>
      </c>
      <c r="C85" s="4" t="s">
        <v>239</v>
      </c>
      <c r="D85" s="1">
        <v>20</v>
      </c>
      <c r="E85" s="1" t="str">
        <f>DEC2HEX(_xlfn.BITOR(_xlfn.BITLSHIFT(A85,5),D85))</f>
        <v>94</v>
      </c>
      <c r="F85" s="6" t="s">
        <v>183</v>
      </c>
      <c r="G85" s="4" t="s">
        <v>184</v>
      </c>
      <c r="H85" s="1" t="s">
        <v>99</v>
      </c>
      <c r="I85" s="4" t="s">
        <v>29</v>
      </c>
      <c r="J85" s="3" t="s">
        <v>96</v>
      </c>
      <c r="K85" s="1" t="s">
        <v>180</v>
      </c>
      <c r="L85" s="1" t="s">
        <v>22</v>
      </c>
      <c r="M85" s="1" t="s">
        <v>22</v>
      </c>
      <c r="N85" s="1" t="s">
        <v>22</v>
      </c>
      <c r="O85" s="1" t="s">
        <v>30</v>
      </c>
      <c r="P85" t="str">
        <f>CONCATENATE("typedef ",O85," ",LOWER(F85), "_",  SUBSTITUTE(LOWER(H85), " ", "_"),"(", I85,");")</f>
        <v>typedef void set_path_and_band_num_enable_channel(LMS7002M_t *);</v>
      </c>
    </row>
    <row r="86" spans="1:17" s="8" customFormat="1" x14ac:dyDescent="0.2">
      <c r="A86" s="7" t="s">
        <v>24</v>
      </c>
      <c r="B86" s="7" t="s">
        <v>24</v>
      </c>
      <c r="C86" s="7"/>
      <c r="D86" s="7"/>
      <c r="J86" s="7" t="s">
        <v>24</v>
      </c>
      <c r="K86" s="7" t="s">
        <v>24</v>
      </c>
      <c r="L86" s="7" t="s">
        <v>24</v>
      </c>
      <c r="M86" s="7" t="s">
        <v>24</v>
      </c>
      <c r="N86" s="7" t="s">
        <v>24</v>
      </c>
      <c r="O86" s="7"/>
      <c r="P86" s="7"/>
      <c r="Q86"/>
    </row>
    <row r="87" spans="1:17" ht="153" x14ac:dyDescent="0.2">
      <c r="A87" s="1">
        <v>0</v>
      </c>
      <c r="B87" s="1" t="s">
        <v>191</v>
      </c>
      <c r="C87" s="4" t="s">
        <v>238</v>
      </c>
      <c r="D87" s="1">
        <v>21</v>
      </c>
      <c r="E87" s="1" t="str">
        <f>DEC2HEX(_xlfn.BITOR(_xlfn.BITLSHIFT(A87,5),D87))</f>
        <v>15</v>
      </c>
      <c r="F87" s="6" t="s">
        <v>192</v>
      </c>
      <c r="G87" s="4" t="s">
        <v>193</v>
      </c>
      <c r="H87" s="1" t="s">
        <v>106</v>
      </c>
      <c r="I87" s="4" t="s">
        <v>29</v>
      </c>
      <c r="J87" s="3" t="s">
        <v>96</v>
      </c>
      <c r="K87" s="1" t="s">
        <v>50</v>
      </c>
      <c r="L87" s="1" t="s">
        <v>79</v>
      </c>
      <c r="M87" s="1" t="s">
        <v>22</v>
      </c>
      <c r="N87" s="1" t="s">
        <v>22</v>
      </c>
      <c r="O87" s="1" t="s">
        <v>30</v>
      </c>
      <c r="P87" t="str">
        <f>CONCATENATE("typedef ",O87," ",LOWER(F87), "_",  SUBSTITUTE(LOWER(H87), " ", "_"),"(", I87,");")</f>
        <v>typedef void tbb_loop_back_enable_num_iq(LMS7002M_t *);</v>
      </c>
    </row>
    <row r="88" spans="1:17" s="8" customFormat="1" x14ac:dyDescent="0.2">
      <c r="A88" s="7" t="s">
        <v>24</v>
      </c>
      <c r="B88" s="7" t="s">
        <v>24</v>
      </c>
      <c r="C88" s="7"/>
      <c r="D88" s="7"/>
      <c r="J88" s="7" t="s">
        <v>24</v>
      </c>
      <c r="K88" s="7" t="s">
        <v>24</v>
      </c>
      <c r="L88" s="7" t="s">
        <v>24</v>
      </c>
      <c r="M88" s="7" t="s">
        <v>24</v>
      </c>
      <c r="N88" s="7" t="s">
        <v>24</v>
      </c>
      <c r="O88" s="7"/>
      <c r="P88" s="7"/>
      <c r="Q88"/>
    </row>
    <row r="89" spans="1:17" ht="63.75" x14ac:dyDescent="0.2">
      <c r="A89" s="1">
        <v>0</v>
      </c>
      <c r="B89" s="1" t="s">
        <v>194</v>
      </c>
      <c r="C89" s="4" t="s">
        <v>195</v>
      </c>
      <c r="D89" s="1">
        <v>22</v>
      </c>
      <c r="E89" s="1" t="str">
        <f>DEC2HEX(_xlfn.BITOR(_xlfn.BITLSHIFT(A89,5),D89))</f>
        <v>16</v>
      </c>
      <c r="F89" s="6" t="s">
        <v>196</v>
      </c>
      <c r="G89" s="4" t="s">
        <v>197</v>
      </c>
      <c r="H89" s="1" t="s">
        <v>173</v>
      </c>
      <c r="I89" s="4" t="s">
        <v>29</v>
      </c>
      <c r="J89" s="3" t="s">
        <v>96</v>
      </c>
      <c r="K89" s="1" t="s">
        <v>122</v>
      </c>
      <c r="L89" s="1" t="s">
        <v>123</v>
      </c>
      <c r="M89" s="1" t="s">
        <v>22</v>
      </c>
      <c r="N89" s="1" t="s">
        <v>22</v>
      </c>
      <c r="O89" s="1" t="s">
        <v>54</v>
      </c>
      <c r="P89" t="str">
        <f>CONCATENATE("typedef ",O89," ",LOWER(F89), "_",  SUBSTITUTE(LOWER(H89), " ", "_"),"(", I89,");")</f>
        <v>typedef int bb_filer_set_num_calibrate(LMS7002M_t *);</v>
      </c>
    </row>
    <row r="90" spans="1:17" ht="63.75" x14ac:dyDescent="0.2">
      <c r="A90" s="1">
        <v>1</v>
      </c>
      <c r="B90" s="1" t="s">
        <v>198</v>
      </c>
      <c r="C90" s="4" t="s">
        <v>199</v>
      </c>
      <c r="D90" s="1">
        <v>22</v>
      </c>
      <c r="E90" s="1" t="str">
        <f>DEC2HEX(_xlfn.BITOR(_xlfn.BITLSHIFT(A90,5),D90))</f>
        <v>36</v>
      </c>
      <c r="F90" s="6" t="s">
        <v>196</v>
      </c>
      <c r="G90" s="4" t="s">
        <v>197</v>
      </c>
      <c r="H90" s="1" t="s">
        <v>173</v>
      </c>
      <c r="I90" s="4" t="s">
        <v>29</v>
      </c>
      <c r="J90" s="3" t="s">
        <v>96</v>
      </c>
      <c r="K90" s="1" t="s">
        <v>122</v>
      </c>
      <c r="L90" s="1" t="s">
        <v>123</v>
      </c>
      <c r="M90" s="1" t="s">
        <v>22</v>
      </c>
      <c r="N90" s="1" t="s">
        <v>22</v>
      </c>
      <c r="O90" s="1" t="s">
        <v>54</v>
      </c>
      <c r="P90" t="str">
        <f>CONCATENATE("typedef ",O90," ",LOWER(F90), "_",  SUBSTITUTE(LOWER(H90), " ", "_"),"(", I90,");")</f>
        <v>typedef int bb_filer_set_num_calibrate(LMS7002M_t *);</v>
      </c>
    </row>
    <row r="91" spans="1:17" ht="76.5" x14ac:dyDescent="0.2">
      <c r="A91" s="1">
        <v>2</v>
      </c>
      <c r="B91" s="1" t="s">
        <v>259</v>
      </c>
      <c r="C91" s="4" t="s">
        <v>260</v>
      </c>
      <c r="D91" s="1">
        <v>22</v>
      </c>
      <c r="E91" s="1" t="str">
        <f>DEC2HEX(_xlfn.BITOR(_xlfn.BITLSHIFT(A91,5),D91))</f>
        <v>56</v>
      </c>
      <c r="F91" s="6" t="s">
        <v>196</v>
      </c>
      <c r="G91" s="4" t="s">
        <v>197</v>
      </c>
      <c r="H91" s="1" t="s">
        <v>173</v>
      </c>
      <c r="I91" s="4" t="s">
        <v>29</v>
      </c>
      <c r="J91" s="3" t="s">
        <v>96</v>
      </c>
      <c r="K91" s="1" t="s">
        <v>122</v>
      </c>
      <c r="L91" s="1" t="s">
        <v>123</v>
      </c>
      <c r="M91" s="1" t="s">
        <v>22</v>
      </c>
      <c r="N91" s="1" t="s">
        <v>22</v>
      </c>
      <c r="O91" s="1" t="s">
        <v>54</v>
      </c>
      <c r="P91" t="str">
        <f>CONCATENATE("typedef ",O91," ",LOWER(F91), "_",  SUBSTITUTE(LOWER(H91), " ", "_"),"(", I91,");")</f>
        <v>typedef int bb_filer_set_num_calibrate(LMS7002M_t *);</v>
      </c>
    </row>
    <row r="92" spans="1:17" ht="51" x14ac:dyDescent="0.2">
      <c r="A92" s="1">
        <v>3</v>
      </c>
      <c r="B92" s="1" t="s">
        <v>263</v>
      </c>
      <c r="C92" s="4" t="s">
        <v>264</v>
      </c>
      <c r="D92" s="1">
        <v>22</v>
      </c>
      <c r="E92" s="1" t="str">
        <f>DEC2HEX(_xlfn.BITOR(_xlfn.BITLSHIFT(A92,5),D92))</f>
        <v>76</v>
      </c>
      <c r="F92" s="6" t="s">
        <v>196</v>
      </c>
      <c r="G92" s="4" t="s">
        <v>197</v>
      </c>
      <c r="H92" s="1" t="s">
        <v>173</v>
      </c>
      <c r="I92" s="4" t="s">
        <v>29</v>
      </c>
      <c r="J92" s="3" t="s">
        <v>96</v>
      </c>
      <c r="K92" s="1" t="s">
        <v>122</v>
      </c>
      <c r="L92" s="1" t="s">
        <v>123</v>
      </c>
      <c r="M92" s="1" t="s">
        <v>22</v>
      </c>
      <c r="N92" s="1" t="s">
        <v>22</v>
      </c>
      <c r="O92" s="1" t="s">
        <v>54</v>
      </c>
      <c r="P92" t="str">
        <f>CONCATENATE("typedef ",O92," ",LOWER(F92), "_",  SUBSTITUTE(LOWER(H92), " ", "_"),"(", I92,");")</f>
        <v>typedef int bb_filer_set_num_calibrate(LMS7002M_t *);</v>
      </c>
    </row>
    <row r="93" spans="1:17" s="8" customFormat="1" x14ac:dyDescent="0.2">
      <c r="A93" s="7" t="s">
        <v>24</v>
      </c>
      <c r="B93" s="7" t="s">
        <v>24</v>
      </c>
      <c r="C93" s="7"/>
      <c r="D93" s="7"/>
      <c r="J93" s="7" t="s">
        <v>24</v>
      </c>
      <c r="K93" s="7" t="s">
        <v>24</v>
      </c>
      <c r="L93" s="7" t="s">
        <v>24</v>
      </c>
      <c r="M93" s="7" t="s">
        <v>24</v>
      </c>
      <c r="N93" s="7" t="s">
        <v>24</v>
      </c>
      <c r="O93" s="7"/>
      <c r="P93" s="7"/>
      <c r="Q93"/>
    </row>
    <row r="94" spans="1:17" ht="51" x14ac:dyDescent="0.2">
      <c r="A94" s="1">
        <v>0</v>
      </c>
      <c r="B94" s="1" t="s">
        <v>200</v>
      </c>
      <c r="C94" s="4" t="s">
        <v>201</v>
      </c>
      <c r="D94" s="1">
        <v>23</v>
      </c>
      <c r="E94" s="1" t="str">
        <f t="shared" ref="E94:E102" si="9">DEC2HEX(_xlfn.BITOR(_xlfn.BITLSHIFT(A94,5),D94))</f>
        <v>17</v>
      </c>
      <c r="F94" s="6" t="s">
        <v>202</v>
      </c>
      <c r="G94" s="4" t="s">
        <v>203</v>
      </c>
      <c r="H94" s="1" t="s">
        <v>127</v>
      </c>
      <c r="I94" s="4" t="s">
        <v>29</v>
      </c>
      <c r="J94" s="3" t="s">
        <v>96</v>
      </c>
      <c r="K94" s="1" t="s">
        <v>174</v>
      </c>
      <c r="L94" s="1" t="s">
        <v>22</v>
      </c>
      <c r="M94" s="1" t="s">
        <v>22</v>
      </c>
      <c r="N94" s="1" t="s">
        <v>22</v>
      </c>
      <c r="O94" s="1" t="s">
        <v>30</v>
      </c>
      <c r="P94" t="str">
        <f t="shared" ref="P94:P102" si="10">CONCATENATE("typedef ",O94," ",LOWER(F94), "_",  SUBSTITUTE(LOWER(H94), " ", "_"),"(", I94,");")</f>
        <v>typedef void trf_rbb_rfe_num_frequency_tunning(LMS7002M_t *);</v>
      </c>
    </row>
    <row r="95" spans="1:17" ht="51" x14ac:dyDescent="0.2">
      <c r="A95" s="1">
        <v>1</v>
      </c>
      <c r="B95" s="1" t="s">
        <v>204</v>
      </c>
      <c r="C95" s="4" t="s">
        <v>205</v>
      </c>
      <c r="D95" s="1">
        <v>23</v>
      </c>
      <c r="E95" s="1" t="str">
        <f t="shared" si="9"/>
        <v>37</v>
      </c>
      <c r="F95" s="6" t="s">
        <v>202</v>
      </c>
      <c r="G95" s="4" t="s">
        <v>203</v>
      </c>
      <c r="H95" s="1" t="s">
        <v>127</v>
      </c>
      <c r="I95" s="4" t="s">
        <v>29</v>
      </c>
      <c r="J95" s="3" t="s">
        <v>96</v>
      </c>
      <c r="K95" s="1" t="s">
        <v>174</v>
      </c>
      <c r="L95" s="1" t="s">
        <v>22</v>
      </c>
      <c r="M95" s="1" t="s">
        <v>22</v>
      </c>
      <c r="N95" s="1" t="s">
        <v>22</v>
      </c>
      <c r="O95" s="1" t="s">
        <v>30</v>
      </c>
      <c r="P95" t="str">
        <f t="shared" si="10"/>
        <v>typedef void trf_rbb_rfe_num_frequency_tunning(LMS7002M_t *);</v>
      </c>
    </row>
    <row r="96" spans="1:17" ht="51" x14ac:dyDescent="0.2">
      <c r="A96" s="1">
        <v>2</v>
      </c>
      <c r="B96" t="s">
        <v>206</v>
      </c>
      <c r="C96" s="4" t="s">
        <v>207</v>
      </c>
      <c r="D96" s="1">
        <v>23</v>
      </c>
      <c r="E96" s="1" t="str">
        <f t="shared" si="9"/>
        <v>57</v>
      </c>
      <c r="F96" s="6" t="s">
        <v>202</v>
      </c>
      <c r="G96" s="4" t="s">
        <v>203</v>
      </c>
      <c r="H96" s="1" t="s">
        <v>208</v>
      </c>
      <c r="I96" s="4" t="s">
        <v>29</v>
      </c>
      <c r="J96" s="3" t="s">
        <v>96</v>
      </c>
      <c r="K96" s="1" t="s">
        <v>174</v>
      </c>
      <c r="L96" s="1" t="s">
        <v>22</v>
      </c>
      <c r="M96" s="1" t="s">
        <v>22</v>
      </c>
      <c r="N96" s="1" t="s">
        <v>22</v>
      </c>
      <c r="O96" s="1" t="s">
        <v>209</v>
      </c>
      <c r="P96" t="str">
        <f t="shared" si="10"/>
        <v>typedef double trf_rbb_rfe_num_gain(LMS7002M_t *);</v>
      </c>
    </row>
    <row r="97" spans="1:17" ht="51" x14ac:dyDescent="0.2">
      <c r="A97" s="1">
        <v>3</v>
      </c>
      <c r="B97" t="s">
        <v>210</v>
      </c>
      <c r="C97" s="4" t="s">
        <v>211</v>
      </c>
      <c r="D97" s="1">
        <v>23</v>
      </c>
      <c r="E97" s="1" t="str">
        <f t="shared" si="9"/>
        <v>77</v>
      </c>
      <c r="F97" s="6" t="s">
        <v>202</v>
      </c>
      <c r="G97" s="4" t="s">
        <v>203</v>
      </c>
      <c r="H97" s="1" t="s">
        <v>208</v>
      </c>
      <c r="I97" s="4" t="s">
        <v>29</v>
      </c>
      <c r="J97" s="3" t="s">
        <v>96</v>
      </c>
      <c r="K97" s="1" t="s">
        <v>174</v>
      </c>
      <c r="L97" s="1" t="s">
        <v>22</v>
      </c>
      <c r="M97" s="1" t="s">
        <v>22</v>
      </c>
      <c r="N97" s="1" t="s">
        <v>22</v>
      </c>
      <c r="O97" s="1" t="s">
        <v>209</v>
      </c>
      <c r="P97" t="str">
        <f t="shared" si="10"/>
        <v>typedef double trf_rbb_rfe_num_gain(LMS7002M_t *);</v>
      </c>
    </row>
    <row r="98" spans="1:17" ht="51" x14ac:dyDescent="0.2">
      <c r="A98" s="1">
        <v>4</v>
      </c>
      <c r="B98" t="s">
        <v>212</v>
      </c>
      <c r="C98" s="4" t="s">
        <v>265</v>
      </c>
      <c r="D98" s="1">
        <v>23</v>
      </c>
      <c r="E98" s="1" t="str">
        <f t="shared" si="9"/>
        <v>97</v>
      </c>
      <c r="F98" s="6" t="s">
        <v>202</v>
      </c>
      <c r="G98" s="4" t="s">
        <v>203</v>
      </c>
      <c r="H98" s="1" t="s">
        <v>208</v>
      </c>
      <c r="I98" s="4" t="s">
        <v>29</v>
      </c>
      <c r="J98" s="3" t="s">
        <v>96</v>
      </c>
      <c r="K98" s="1" t="s">
        <v>174</v>
      </c>
      <c r="L98" s="1" t="s">
        <v>22</v>
      </c>
      <c r="M98" s="1" t="s">
        <v>22</v>
      </c>
      <c r="N98" s="1" t="s">
        <v>22</v>
      </c>
      <c r="O98" s="1" t="s">
        <v>209</v>
      </c>
      <c r="P98" t="str">
        <f t="shared" si="10"/>
        <v>typedef double trf_rbb_rfe_num_gain(LMS7002M_t *);</v>
      </c>
    </row>
    <row r="99" spans="1:17" ht="38.25" x14ac:dyDescent="0.2">
      <c r="A99" s="1">
        <v>5</v>
      </c>
      <c r="B99" t="s">
        <v>213</v>
      </c>
      <c r="C99" s="4" t="s">
        <v>214</v>
      </c>
      <c r="D99" s="1">
        <v>23</v>
      </c>
      <c r="E99" s="1" t="str">
        <f t="shared" si="9"/>
        <v>B7</v>
      </c>
      <c r="F99" s="6" t="s">
        <v>202</v>
      </c>
      <c r="G99" s="4" t="s">
        <v>203</v>
      </c>
      <c r="H99" s="1" t="s">
        <v>208</v>
      </c>
      <c r="I99" s="4" t="s">
        <v>29</v>
      </c>
      <c r="J99" s="3" t="s">
        <v>96</v>
      </c>
      <c r="K99" s="1" t="s">
        <v>174</v>
      </c>
      <c r="L99" s="1" t="s">
        <v>22</v>
      </c>
      <c r="M99" s="1" t="s">
        <v>22</v>
      </c>
      <c r="N99" s="1" t="s">
        <v>22</v>
      </c>
      <c r="O99" s="1" t="s">
        <v>209</v>
      </c>
      <c r="P99" t="str">
        <f t="shared" si="10"/>
        <v>typedef double trf_rbb_rfe_num_gain(LMS7002M_t *);</v>
      </c>
    </row>
    <row r="100" spans="1:17" ht="51" x14ac:dyDescent="0.2">
      <c r="A100" s="1">
        <v>6</v>
      </c>
      <c r="B100" t="s">
        <v>215</v>
      </c>
      <c r="C100" s="4" t="s">
        <v>216</v>
      </c>
      <c r="D100" s="1">
        <v>23</v>
      </c>
      <c r="E100" s="1" t="str">
        <f t="shared" si="9"/>
        <v>D7</v>
      </c>
      <c r="F100" s="6" t="s">
        <v>202</v>
      </c>
      <c r="G100" s="4" t="s">
        <v>203</v>
      </c>
      <c r="H100" s="1" t="s">
        <v>208</v>
      </c>
      <c r="I100" s="4" t="s">
        <v>29</v>
      </c>
      <c r="J100" s="3" t="s">
        <v>96</v>
      </c>
      <c r="K100" s="1" t="s">
        <v>174</v>
      </c>
      <c r="L100" s="1" t="s">
        <v>22</v>
      </c>
      <c r="M100" s="1" t="s">
        <v>22</v>
      </c>
      <c r="N100" s="1" t="s">
        <v>22</v>
      </c>
      <c r="O100" s="1" t="s">
        <v>209</v>
      </c>
      <c r="P100" t="str">
        <f t="shared" si="10"/>
        <v>typedef double trf_rbb_rfe_num_gain(LMS7002M_t *);</v>
      </c>
    </row>
    <row r="101" spans="1:17" ht="38.25" x14ac:dyDescent="0.2">
      <c r="A101" s="1">
        <v>7</v>
      </c>
      <c r="B101" t="s">
        <v>217</v>
      </c>
      <c r="C101" s="4" t="s">
        <v>218</v>
      </c>
      <c r="D101" s="1">
        <v>23</v>
      </c>
      <c r="E101" s="1" t="str">
        <f t="shared" si="9"/>
        <v>F7</v>
      </c>
      <c r="F101" s="6" t="s">
        <v>202</v>
      </c>
      <c r="G101" s="4" t="s">
        <v>203</v>
      </c>
      <c r="H101" s="1" t="s">
        <v>208</v>
      </c>
      <c r="I101" s="4" t="s">
        <v>29</v>
      </c>
      <c r="J101" s="3" t="s">
        <v>96</v>
      </c>
      <c r="K101" s="1" t="s">
        <v>174</v>
      </c>
      <c r="L101" s="1" t="s">
        <v>22</v>
      </c>
      <c r="M101" s="1" t="s">
        <v>22</v>
      </c>
      <c r="N101" s="1" t="s">
        <v>22</v>
      </c>
      <c r="O101" s="1" t="s">
        <v>209</v>
      </c>
      <c r="P101" t="str">
        <f t="shared" si="10"/>
        <v>typedef double trf_rbb_rfe_num_gain(LMS7002M_t *);</v>
      </c>
    </row>
    <row r="102" spans="1:17" ht="25.5" x14ac:dyDescent="0.2">
      <c r="A102" s="1">
        <v>8</v>
      </c>
      <c r="B102" t="s">
        <v>266</v>
      </c>
      <c r="C102" s="4" t="s">
        <v>267</v>
      </c>
      <c r="D102" s="1">
        <v>23</v>
      </c>
      <c r="E102" s="1" t="str">
        <f t="shared" si="9"/>
        <v>117</v>
      </c>
      <c r="F102" s="6" t="s">
        <v>202</v>
      </c>
      <c r="G102" s="4"/>
      <c r="H102" s="1" t="s">
        <v>173</v>
      </c>
      <c r="I102" s="4" t="s">
        <v>29</v>
      </c>
      <c r="J102" s="3" t="s">
        <v>96</v>
      </c>
      <c r="K102" s="1" t="s">
        <v>174</v>
      </c>
      <c r="L102" s="11" t="s">
        <v>22</v>
      </c>
      <c r="M102" s="11" t="s">
        <v>22</v>
      </c>
      <c r="N102" s="11" t="s">
        <v>22</v>
      </c>
      <c r="O102" s="1" t="s">
        <v>30</v>
      </c>
      <c r="P102" t="str">
        <f>CONCATENATE("typedef ",O102," ",LOWER(F102), "_",  SUBSTITUTE(LOWER(H102), " ", "_"),"(", I102,");")</f>
        <v>typedef void trf_rbb_rfe_num_calibrate(LMS7002M_t *);</v>
      </c>
    </row>
    <row r="103" spans="1:17" s="8" customFormat="1" x14ac:dyDescent="0.2">
      <c r="A103" s="7" t="s">
        <v>24</v>
      </c>
      <c r="B103" s="7" t="s">
        <v>24</v>
      </c>
      <c r="C103" s="7"/>
      <c r="D103" s="7"/>
      <c r="J103" s="7" t="s">
        <v>24</v>
      </c>
      <c r="K103" s="7" t="s">
        <v>24</v>
      </c>
      <c r="L103" s="7" t="s">
        <v>24</v>
      </c>
      <c r="M103" s="7" t="s">
        <v>24</v>
      </c>
      <c r="N103" s="7" t="s">
        <v>24</v>
      </c>
      <c r="O103" s="7"/>
      <c r="P103" s="7"/>
      <c r="Q103"/>
    </row>
    <row r="104" spans="1:17" ht="51" x14ac:dyDescent="0.2">
      <c r="A104" s="1">
        <v>0</v>
      </c>
      <c r="B104" s="1" t="s">
        <v>219</v>
      </c>
      <c r="C104" s="4" t="s">
        <v>220</v>
      </c>
      <c r="D104" s="1">
        <v>24</v>
      </c>
      <c r="E104" s="1" t="str">
        <f>DEC2HEX(_xlfn.BITOR(_xlfn.BITLSHIFT(A104,5),D104))</f>
        <v>18</v>
      </c>
      <c r="F104" s="6" t="s">
        <v>221</v>
      </c>
      <c r="G104" s="4" t="s">
        <v>222</v>
      </c>
      <c r="H104" s="1" t="s">
        <v>223</v>
      </c>
      <c r="I104" s="4" t="s">
        <v>29</v>
      </c>
      <c r="J104" s="3" t="s">
        <v>96</v>
      </c>
      <c r="K104" s="1" t="s">
        <v>22</v>
      </c>
      <c r="L104" s="1" t="s">
        <v>22</v>
      </c>
      <c r="M104" s="1" t="s">
        <v>22</v>
      </c>
      <c r="N104" s="1" t="s">
        <v>22</v>
      </c>
      <c r="O104" s="1" t="s">
        <v>224</v>
      </c>
      <c r="P104" t="str">
        <f>CONCATENATE("typedef ",O104," ",LOWER(F104), "_",  SUBSTITUTE(LOWER(H104), " ", "_"),"(", I104,");")</f>
        <v>typedef uint16_t readrssi_num_rssi(LMS7002M_t *);</v>
      </c>
    </row>
    <row r="105" spans="1:17" s="8" customFormat="1" x14ac:dyDescent="0.2">
      <c r="A105" s="7" t="s">
        <v>24</v>
      </c>
      <c r="B105" s="7" t="s">
        <v>24</v>
      </c>
      <c r="C105" s="7"/>
      <c r="D105" s="7"/>
      <c r="J105" s="7" t="s">
        <v>24</v>
      </c>
      <c r="K105" s="7" t="s">
        <v>24</v>
      </c>
      <c r="L105" s="7" t="s">
        <v>24</v>
      </c>
      <c r="M105" s="7" t="s">
        <v>24</v>
      </c>
      <c r="N105" s="7" t="s">
        <v>24</v>
      </c>
      <c r="O105" s="7"/>
      <c r="P105" s="7"/>
      <c r="Q105"/>
    </row>
    <row r="106" spans="1:17" x14ac:dyDescent="0.2">
      <c r="E106" s="1"/>
      <c r="F106" s="6"/>
      <c r="G106" s="4"/>
      <c r="H106" s="1"/>
      <c r="I106" s="4"/>
      <c r="J106" s="3"/>
    </row>
  </sheetData>
  <autoFilter ref="A1:O105" xr:uid="{00000000-0009-0000-0000-000000000000}"/>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1447</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bydtatype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Melissa VegaArias</cp:lastModifiedBy>
  <cp:revision>49</cp:revision>
  <dcterms:created xsi:type="dcterms:W3CDTF">2025-10-25T21:56:34Z</dcterms:created>
  <dcterms:modified xsi:type="dcterms:W3CDTF">2026-05-22T22:24:38Z</dcterms:modified>
  <dc:language>en-US</dc:language>
</cp:coreProperties>
</file>